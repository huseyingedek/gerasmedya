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💰 Bütçe Planlayıcı" sheetId="1" state="visible" r:id="rId3"/>
    <sheet name="📈 Aylık Performans Takibi" sheetId="2" state="visible" r:id="rId4"/>
    <sheet name="🧠 Optimizasyon Rehber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<sst xmlns="http://schemas.openxmlformats.org/spreadsheetml/2006/main" count="103" uniqueCount="88">
  <si>
    <t xml:space="preserve">ÇOKLU KANAL PAZARLAMA BÜTÇE &amp; ROI PLANLAYICI</t>
  </si>
  <si>
    <t xml:space="preserve">Mavi hücreler = giriş  |  Siyah = otomatik hesap  |  Altın = kritik sonuç</t>
  </si>
  <si>
    <t xml:space="preserve">⚙️  GENEL HEDEFLER VE VARSAYIMLAR</t>
  </si>
  <si>
    <t xml:space="preserve">Aylık Toplam Bütçe (TL):</t>
  </si>
  <si>
    <t xml:space="preserve">Hedef Aylık Ciro (TL):</t>
  </si>
  <si>
    <t xml:space="preserve">Ortalama Sipariş Tutarı (TL):</t>
  </si>
  <si>
    <t xml:space="preserve">Hedef ROAS:</t>
  </si>
  <si>
    <t xml:space="preserve">Hedef CPA (TL):</t>
  </si>
  <si>
    <t xml:space="preserve">📊  KANAL BAZLI BÜTÇE VE PERFORMANS TAHMİNİ</t>
  </si>
  <si>
    <t xml:space="preserve">Kanal</t>
  </si>
  <si>
    <t xml:space="preserve">Bütçe (TL)</t>
  </si>
  <si>
    <t xml:space="preserve">Bütçe Payı</t>
  </si>
  <si>
    <t xml:space="preserve">Tahmini Erişim</t>
  </si>
  <si>
    <t xml:space="preserve">Bek. Tıklama</t>
  </si>
  <si>
    <t xml:space="preserve">Bek. CVR</t>
  </si>
  <si>
    <t xml:space="preserve">Bek. Satış</t>
  </si>
  <si>
    <t xml:space="preserve">Tahmini Gelir</t>
  </si>
  <si>
    <t xml:space="preserve">Tahmini ROAS</t>
  </si>
  <si>
    <t xml:space="preserve">Değerlendirme</t>
  </si>
  <si>
    <t xml:space="preserve">Meta Ads (Facebook/IG)</t>
  </si>
  <si>
    <t xml:space="preserve">Google Ads (Arama)</t>
  </si>
  <si>
    <t xml:space="preserve">Google Ads (Display/YT)</t>
  </si>
  <si>
    <t xml:space="preserve">TikTok Ads</t>
  </si>
  <si>
    <t xml:space="preserve">E-posta Pazarlama</t>
  </si>
  <si>
    <t xml:space="preserve">Influencer İşbirlikleri</t>
  </si>
  <si>
    <t xml:space="preserve">SEO / İçerik</t>
  </si>
  <si>
    <t xml:space="preserve">SMS Pazarlama</t>
  </si>
  <si>
    <t xml:space="preserve">TOPLAM</t>
  </si>
  <si>
    <t xml:space="preserve">⚠️ Toplam Bütçe Kontrolü</t>
  </si>
  <si>
    <t xml:space="preserve">Girilen Toplam Bütçe:</t>
  </si>
  <si>
    <t xml:space="preserve">Tanımlanan Bütçe:</t>
  </si>
  <si>
    <t xml:space="preserve">Fark:</t>
  </si>
  <si>
    <t xml:space="preserve">AYLIK PERFORMANS TAKİBİ — HEDEF vs GERÇEKLEŞEN</t>
  </si>
  <si>
    <t xml:space="preserve">Her ay sonunda gerçek verileri gir. Sapma analizi ve trend grafiği otomatik güncellenir.</t>
  </si>
  <si>
    <t xml:space="preserve">KPI</t>
  </si>
  <si>
    <t xml:space="preserve">Hedef</t>
  </si>
  <si>
    <t xml:space="preserve">Oca</t>
  </si>
  <si>
    <t xml:space="preserve">Şub</t>
  </si>
  <si>
    <t xml:space="preserve">Mar</t>
  </si>
  <si>
    <t xml:space="preserve">Nis</t>
  </si>
  <si>
    <t xml:space="preserve">May</t>
  </si>
  <si>
    <t xml:space="preserve">Haz</t>
  </si>
  <si>
    <t xml:space="preserve">Tem</t>
  </si>
  <si>
    <t xml:space="preserve">Ağu</t>
  </si>
  <si>
    <t xml:space="preserve">Eyl</t>
  </si>
  <si>
    <t xml:space="preserve">Eki</t>
  </si>
  <si>
    <t xml:space="preserve">Kas</t>
  </si>
  <si>
    <t xml:space="preserve">Ara</t>
  </si>
  <si>
    <t xml:space="preserve">Reklam Harcaması (TL)</t>
  </si>
  <si>
    <t xml:space="preserve">Toplam Gelir (TL)</t>
  </si>
  <si>
    <t xml:space="preserve">ROAS</t>
  </si>
  <si>
    <t xml:space="preserve">Sipariş Adedi</t>
  </si>
  <si>
    <t xml:space="preserve">Tıklama Sayısı</t>
  </si>
  <si>
    <t xml:space="preserve">Dönüşüm Oranı (%)</t>
  </si>
  <si>
    <t xml:space="preserve">CPA (TL)</t>
  </si>
  <si>
    <t xml:space="preserve">Yeni Müşteri Oranı (%)</t>
  </si>
  <si>
    <t xml:space="preserve">Yıl Hedefi</t>
  </si>
  <si>
    <t xml:space="preserve">Kümülatif Harcama:</t>
  </si>
  <si>
    <t xml:space="preserve">KANAL OPTİMİZASYON REHBERİ</t>
  </si>
  <si>
    <t xml:space="preserve">Her kanal için durum + ne zaman bütçe artır/azalt + hangi metriklere bak</t>
  </si>
  <si>
    <t xml:space="preserve">Durum Kriteri</t>
  </si>
  <si>
    <t xml:space="preserve">Optimize Et (ROAS düşükse)</t>
  </si>
  <si>
    <t xml:space="preserve">Ölçeklendir (ROAS yüksekse)</t>
  </si>
  <si>
    <t xml:space="preserve">Öncelikli Metrikler</t>
  </si>
  <si>
    <t xml:space="preserve">Meta Ads</t>
  </si>
  <si>
    <t xml:space="preserve">ROAS &gt; 4x = ölçekle / &lt; 2.5x = durdur</t>
  </si>
  <si>
    <t xml:space="preserve">1) Hedef kitleyi daralt
2) Kreatifi yenile (3-7 günde bir)
3) Frekansı kontrol et (&gt;3 = yorgunluk)
4) Geniş hedefleme kapat</t>
  </si>
  <si>
    <t xml:space="preserve">1) Bütçeyi günde %20 artır
2) Benzer kitle (Lookalike) oluştur
3) En iyi kreatifleri çoğalt
4) Retargeting bütçesini %30'a çıkar</t>
  </si>
  <si>
    <t xml:space="preserve">ROAS, CPM, Frequency, CTR, Hook Rate</t>
  </si>
  <si>
    <t xml:space="preserve">Google Ads</t>
  </si>
  <si>
    <t xml:space="preserve">ROAS &gt; 5x = ölçekle / IS &lt; %60 = artır</t>
  </si>
  <si>
    <t xml:space="preserve">1) Düşük kalite skoru (&lt;5) kelimeleri durdur
2) Negatif anahtar kelime listesi genişlet
3) Reklam metni A/B testi yap
4) Teklif stratejisini hedef CPA'ya çevir</t>
  </si>
  <si>
    <t xml:space="preserve">1) Impression Share artır (bütçe kısıtlıysa)
2) Yüksek CVR kamp. bütçesini artır
3) Hedef ROAS değerini %10 düşür
4) Yeni anahtar kelime grupları aç</t>
  </si>
  <si>
    <t xml:space="preserve">Quality Score, IS, CTR, CVR, CPA</t>
  </si>
  <si>
    <t xml:space="preserve">CPM &lt; 15₺ &amp; CVR &gt; %1.5 = ölçekle</t>
  </si>
  <si>
    <t xml:space="preserve">1) İlk 2 saniyeyi güçlendir (hook rate &gt; %30)
2) Ürün videosunu yenile
3) Geniş yaş grubunu daralt
4) Interest targeting kapat, davranış kullan</t>
  </si>
  <si>
    <t xml:space="preserve">1) Spark Ads ile organik videoları öne çıkar
2) UGC (kullanıcı içeriği) ekle
3) Günlük bütçeyi %15 artır
4) Lookalike ile benzer kitle hedefle</t>
  </si>
  <si>
    <t xml:space="preserve">Hook Rate, VTR, CPM, CVR</t>
  </si>
  <si>
    <t xml:space="preserve">E-posta</t>
  </si>
  <si>
    <t xml:space="preserve">Açılma oranı &gt; %20 / Tıklama &gt; %2.5</t>
  </si>
  <si>
    <t xml:space="preserve">1) Konu satırını A/B test et
2) Gönderim saatini değiştir
3) Listeni segmente et (aktif/pasif)
4) İçeriği kişiselleştir</t>
  </si>
  <si>
    <t xml:space="preserve">1) Kampanya sıklığını artır
2) Otomasyon dizileri kur
3) Winback kampanyası başlat
4) Kişiselleştirme derinleştir</t>
  </si>
  <si>
    <t xml:space="preserve">Açılma Oranı, CTR, Unsubscribe, Gelir/Email</t>
  </si>
  <si>
    <t xml:space="preserve">Influencer</t>
  </si>
  <si>
    <t xml:space="preserve">CPM &lt; 30₺ &amp; reach &gt; 10K = iyi</t>
  </si>
  <si>
    <t xml:space="preserve">1) Takipçi/etkileşim oranını kontrol et (&gt; %3)
2) Sahte takipçi analizi yap
3) Performance bazlı anlaşmaya geç
4) Mikro-influencer dene (10K-100K)</t>
  </si>
  <si>
    <t xml:space="preserve">1) Uzun vadeli ortaklık kur
2) Exclusive içerik sözleşmesi yap
3) Affiliate link ile dönüşüm izle
4) Sezonsal kampanyalarda öne çıkar</t>
  </si>
  <si>
    <t xml:space="preserve">ER, CPM, Erişim, Satış, UTM Dönüşüm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</si>
</sst>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\x"/>
    <numFmt numFmtId="167" formatCode="#,##0.00"/>
    <numFmt numFmtId="168" formatCode="0.0%"/>
    <numFmt numFmtId="169" formatCode="#,##0;\(#,##0\);\-"/>
    <numFmt numFmtId="170" formatCode="0.00\x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1"/>
      <color rgb="FF15803D"/>
      <name val="Arial"/>
      <family val="0"/>
      <charset val="1"/>
    </font>
    <font>
      <sz val="10"/>
      <color rgb="FF495057"/>
      <name val="Arial"/>
      <family val="0"/>
      <charset val="1"/>
    </font>
    <font>
      <sz val="10"/>
      <color rgb="FFDC2626"/>
      <name val="Arial"/>
      <family val="0"/>
      <charset val="1"/>
    </font>
    <font>
      <sz val="10"/>
      <color rgb="FF15803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1D3557"/>
      </patternFill>
    </fill>
    <fill>
      <patternFill patternType="solid">
        <fgColor rgb="FF495057"/>
        <bgColor rgb="FF374151"/>
      </patternFill>
    </fill>
    <fill>
      <patternFill patternType="solid">
        <fgColor rgb="FF374151"/>
        <bgColor rgb="FF495057"/>
      </patternFill>
    </fill>
    <fill>
      <patternFill patternType="solid">
        <fgColor rgb="FFDBEAFE"/>
        <bgColor rgb="FFDCFCE7"/>
      </patternFill>
    </fill>
    <fill>
      <patternFill patternType="solid">
        <fgColor rgb="FFF5E6B8"/>
        <bgColor rgb="FFFEE2E2"/>
      </patternFill>
    </fill>
    <fill>
      <patternFill patternType="solid">
        <fgColor rgb="FFF8F9FA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E2E2"/>
        <bgColor rgb="FFF5E6B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DCFCE7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5E6B8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495057"/>
      <rgbColor rgb="FFC9A84C"/>
      <rgbColor rgb="FF1D3557"/>
      <rgbColor rgb="FF339966"/>
      <rgbColor rgb="FF003300"/>
      <rgbColor rgb="FF1A1A2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7" min="5" style="0" width="12"/>
    <col collapsed="false" customWidth="true" hidden="false" outlineLevel="0" max="10" min="8" style="0" width="14"/>
    <col collapsed="false" customWidth="true" hidden="false" outlineLevel="0" max="11" min="11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21.75" hidden="false" customHeight="true" outlineLevel="0" collapsed="false">
      <c r="B5" s="4" t="s">
        <v>3</v>
      </c>
      <c r="C5" s="5" t="n">
        <v>50000</v>
      </c>
      <c r="D5" s="6"/>
      <c r="E5" s="6"/>
      <c r="F5" s="6"/>
      <c r="G5" s="6"/>
      <c r="H5" s="6"/>
      <c r="I5" s="6"/>
      <c r="J5" s="6"/>
      <c r="K5" s="6"/>
    </row>
    <row r="6" customFormat="false" ht="21.75" hidden="false" customHeight="true" outlineLevel="0" collapsed="false">
      <c r="B6" s="4" t="s">
        <v>4</v>
      </c>
      <c r="C6" s="5" t="n">
        <v>250000</v>
      </c>
      <c r="D6" s="6"/>
      <c r="E6" s="6"/>
      <c r="F6" s="6"/>
      <c r="G6" s="6"/>
      <c r="H6" s="6"/>
      <c r="I6" s="6"/>
      <c r="J6" s="6"/>
      <c r="K6" s="6"/>
    </row>
    <row r="7" customFormat="false" ht="21.75" hidden="false" customHeight="true" outlineLevel="0" collapsed="false">
      <c r="B7" s="4" t="s">
        <v>5</v>
      </c>
      <c r="C7" s="5" t="n">
        <v>350</v>
      </c>
      <c r="D7" s="6"/>
      <c r="E7" s="6"/>
      <c r="F7" s="6"/>
      <c r="G7" s="6"/>
      <c r="H7" s="6"/>
      <c r="I7" s="6"/>
      <c r="J7" s="6"/>
      <c r="K7" s="6"/>
    </row>
    <row r="8" customFormat="false" ht="21.75" hidden="false" customHeight="true" outlineLevel="0" collapsed="false">
      <c r="B8" s="4" t="s">
        <v>6</v>
      </c>
      <c r="C8" s="7" t="n">
        <v>5</v>
      </c>
      <c r="D8" s="6"/>
      <c r="E8" s="6"/>
      <c r="F8" s="6"/>
      <c r="G8" s="6"/>
      <c r="H8" s="6"/>
      <c r="I8" s="6"/>
      <c r="J8" s="6"/>
      <c r="K8" s="6"/>
    </row>
    <row r="9" customFormat="false" ht="21.75" hidden="false" customHeight="true" outlineLevel="0" collapsed="false">
      <c r="B9" s="4" t="s">
        <v>7</v>
      </c>
      <c r="C9" s="8" t="n">
        <v>80</v>
      </c>
      <c r="D9" s="6"/>
      <c r="E9" s="6"/>
      <c r="F9" s="6"/>
      <c r="G9" s="6"/>
      <c r="H9" s="6"/>
      <c r="I9" s="6"/>
      <c r="J9" s="6"/>
      <c r="K9" s="6"/>
    </row>
    <row r="11" customFormat="false" ht="24" hidden="false" customHeight="true" outlineLevel="0" collapsed="false">
      <c r="A11" s="3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24" hidden="false" customHeight="true" outlineLevel="0" collapsed="false">
      <c r="B12" s="9" t="s">
        <v>9</v>
      </c>
      <c r="C12" s="9" t="s">
        <v>10</v>
      </c>
      <c r="D12" s="9" t="s">
        <v>11</v>
      </c>
      <c r="E12" s="9" t="s">
        <v>12</v>
      </c>
      <c r="F12" s="9" t="s">
        <v>13</v>
      </c>
      <c r="G12" s="9" t="s">
        <v>14</v>
      </c>
      <c r="H12" s="9" t="s">
        <v>15</v>
      </c>
      <c r="I12" s="9" t="s">
        <v>16</v>
      </c>
      <c r="J12" s="9" t="s">
        <v>17</v>
      </c>
      <c r="K12" s="9" t="s">
        <v>18</v>
      </c>
    </row>
    <row r="13" customFormat="false" ht="25.5" hidden="false" customHeight="true" outlineLevel="0" collapsed="false">
      <c r="B13" s="10" t="s">
        <v>19</v>
      </c>
      <c r="C13" s="5" t="n">
        <v>15000</v>
      </c>
      <c r="D13" s="11" t="n">
        <f aca="false">C13/$C$5</f>
        <v>0.3</v>
      </c>
      <c r="E13" s="5" t="n">
        <v>120000</v>
      </c>
      <c r="F13" s="5" t="n">
        <v>4500</v>
      </c>
      <c r="G13" s="12" t="n">
        <v>0.035</v>
      </c>
      <c r="H13" s="13" t="n">
        <f aca="false">ROUND(F13*G13,0)</f>
        <v>158</v>
      </c>
      <c r="I13" s="13" t="n">
        <f aca="false">H13*$C$7</f>
        <v>55300</v>
      </c>
      <c r="J13" s="14" t="n">
        <f aca="false">IF(C13=0,"-",I13/C13)</f>
        <v>3.68666666666667</v>
      </c>
      <c r="K13" s="15" t="str">
        <f aca="false">IF(C13=0,"",IF(J13&gt;=$C$8,"✅ Hedef Üstü",IF(J13&gt;=$C$8*0.8,"🟡 Kabul Edilebilir","❌ Optimize Et")))</f>
        <v>❌ Optimize Et</v>
      </c>
    </row>
    <row r="14" customFormat="false" ht="25.5" hidden="false" customHeight="true" outlineLevel="0" collapsed="false">
      <c r="B14" s="10" t="s">
        <v>20</v>
      </c>
      <c r="C14" s="5" t="n">
        <v>12000</v>
      </c>
      <c r="D14" s="11" t="n">
        <f aca="false">C14/$C$5</f>
        <v>0.24</v>
      </c>
      <c r="E14" s="5" t="n">
        <v>45000</v>
      </c>
      <c r="F14" s="5" t="n">
        <v>3600</v>
      </c>
      <c r="G14" s="12" t="n">
        <v>0.065</v>
      </c>
      <c r="H14" s="13" t="n">
        <f aca="false">ROUND(F14*G14,0)</f>
        <v>234</v>
      </c>
      <c r="I14" s="13" t="n">
        <f aca="false">H14*$C$7</f>
        <v>81900</v>
      </c>
      <c r="J14" s="14" t="n">
        <f aca="false">IF(C14=0,"-",I14/C14)</f>
        <v>6.825</v>
      </c>
      <c r="K14" s="15" t="str">
        <f aca="false">IF(C14=0,"",IF(J14&gt;=$C$8,"✅ Hedef Üstü",IF(J14&gt;=$C$8*0.8,"🟡 Kabul Edilebilir","❌ Optimize Et")))</f>
        <v>✅ Hedef Üstü</v>
      </c>
    </row>
    <row r="15" customFormat="false" ht="25.5" hidden="false" customHeight="true" outlineLevel="0" collapsed="false">
      <c r="B15" s="10" t="s">
        <v>21</v>
      </c>
      <c r="C15" s="5" t="n">
        <v>5000</v>
      </c>
      <c r="D15" s="11" t="n">
        <f aca="false">C15/$C$5</f>
        <v>0.1</v>
      </c>
      <c r="E15" s="5" t="n">
        <v>500000</v>
      </c>
      <c r="F15" s="5" t="n">
        <v>1500</v>
      </c>
      <c r="G15" s="12" t="n">
        <v>0.015</v>
      </c>
      <c r="H15" s="13" t="n">
        <f aca="false">ROUND(F15*G15,0)</f>
        <v>23</v>
      </c>
      <c r="I15" s="13" t="n">
        <f aca="false">H15*$C$7</f>
        <v>8050</v>
      </c>
      <c r="J15" s="14" t="n">
        <f aca="false">IF(C15=0,"-",I15/C15)</f>
        <v>1.61</v>
      </c>
      <c r="K15" s="15" t="str">
        <f aca="false">IF(C15=0,"",IF(J15&gt;=$C$8,"✅ Hedef Üstü",IF(J15&gt;=$C$8*0.8,"🟡 Kabul Edilebilir","❌ Optimize Et")))</f>
        <v>❌ Optimize Et</v>
      </c>
    </row>
    <row r="16" customFormat="false" ht="25.5" hidden="false" customHeight="true" outlineLevel="0" collapsed="false">
      <c r="B16" s="10" t="s">
        <v>22</v>
      </c>
      <c r="C16" s="5" t="n">
        <v>5000</v>
      </c>
      <c r="D16" s="11" t="n">
        <f aca="false">C16/$C$5</f>
        <v>0.1</v>
      </c>
      <c r="E16" s="5" t="n">
        <v>200000</v>
      </c>
      <c r="F16" s="5" t="n">
        <v>2500</v>
      </c>
      <c r="G16" s="12" t="n">
        <v>0.02</v>
      </c>
      <c r="H16" s="13" t="n">
        <f aca="false">ROUND(F16*G16,0)</f>
        <v>50</v>
      </c>
      <c r="I16" s="13" t="n">
        <f aca="false">H16*$C$7</f>
        <v>17500</v>
      </c>
      <c r="J16" s="14" t="n">
        <f aca="false">IF(C16=0,"-",I16/C16)</f>
        <v>3.5</v>
      </c>
      <c r="K16" s="15" t="str">
        <f aca="false">IF(C16=0,"",IF(J16&gt;=$C$8,"✅ Hedef Üstü",IF(J16&gt;=$C$8*0.8,"🟡 Kabul Edilebilir","❌ Optimize Et")))</f>
        <v>❌ Optimize Et</v>
      </c>
    </row>
    <row r="17" customFormat="false" ht="25.5" hidden="false" customHeight="true" outlineLevel="0" collapsed="false">
      <c r="B17" s="10" t="s">
        <v>23</v>
      </c>
      <c r="C17" s="5" t="n">
        <v>2000</v>
      </c>
      <c r="D17" s="11" t="n">
        <f aca="false">C17/$C$5</f>
        <v>0.04</v>
      </c>
      <c r="E17" s="5" t="n">
        <v>15000</v>
      </c>
      <c r="F17" s="5" t="n">
        <v>3000</v>
      </c>
      <c r="G17" s="12" t="n">
        <v>0.04</v>
      </c>
      <c r="H17" s="13" t="n">
        <f aca="false">ROUND(F17*G17,0)</f>
        <v>120</v>
      </c>
      <c r="I17" s="13" t="n">
        <f aca="false">H17*$C$7</f>
        <v>42000</v>
      </c>
      <c r="J17" s="14" t="n">
        <f aca="false">IF(C17=0,"-",I17/C17)</f>
        <v>21</v>
      </c>
      <c r="K17" s="15" t="str">
        <f aca="false">IF(C17=0,"",IF(J17&gt;=$C$8,"✅ Hedef Üstü",IF(J17&gt;=$C$8*0.8,"🟡 Kabul Edilebilir","❌ Optimize Et")))</f>
        <v>✅ Hedef Üstü</v>
      </c>
    </row>
    <row r="18" customFormat="false" ht="25.5" hidden="false" customHeight="true" outlineLevel="0" collapsed="false">
      <c r="B18" s="10" t="s">
        <v>24</v>
      </c>
      <c r="C18" s="5" t="n">
        <v>6000</v>
      </c>
      <c r="D18" s="11" t="n">
        <f aca="false">C18/$C$5</f>
        <v>0.12</v>
      </c>
      <c r="E18" s="5" t="n">
        <v>80000</v>
      </c>
      <c r="F18" s="5" t="n">
        <v>2000</v>
      </c>
      <c r="G18" s="12" t="n">
        <v>0.025</v>
      </c>
      <c r="H18" s="13" t="n">
        <f aca="false">ROUND(F18*G18,0)</f>
        <v>50</v>
      </c>
      <c r="I18" s="13" t="n">
        <f aca="false">H18*$C$7</f>
        <v>17500</v>
      </c>
      <c r="J18" s="14" t="n">
        <f aca="false">IF(C18=0,"-",I18/C18)</f>
        <v>2.91666666666667</v>
      </c>
      <c r="K18" s="15" t="str">
        <f aca="false">IF(C18=0,"",IF(J18&gt;=$C$8,"✅ Hedef Üstü",IF(J18&gt;=$C$8*0.8,"🟡 Kabul Edilebilir","❌ Optimize Et")))</f>
        <v>❌ Optimize Et</v>
      </c>
    </row>
    <row r="19" customFormat="false" ht="25.5" hidden="false" customHeight="true" outlineLevel="0" collapsed="false">
      <c r="B19" s="10" t="s">
        <v>25</v>
      </c>
      <c r="C19" s="5" t="n">
        <v>3000</v>
      </c>
      <c r="D19" s="11" t="n">
        <f aca="false">C19/$C$5</f>
        <v>0.06</v>
      </c>
      <c r="E19" s="5" t="n">
        <v>30000</v>
      </c>
      <c r="F19" s="5" t="n">
        <v>900</v>
      </c>
      <c r="G19" s="12" t="n">
        <v>0.05</v>
      </c>
      <c r="H19" s="13" t="n">
        <f aca="false">ROUND(F19*G19,0)</f>
        <v>45</v>
      </c>
      <c r="I19" s="13" t="n">
        <f aca="false">H19*$C$7</f>
        <v>15750</v>
      </c>
      <c r="J19" s="14" t="n">
        <f aca="false">IF(C19=0,"-",I19/C19)</f>
        <v>5.25</v>
      </c>
      <c r="K19" s="15" t="str">
        <f aca="false">IF(C19=0,"",IF(J19&gt;=$C$8,"✅ Hedef Üstü",IF(J19&gt;=$C$8*0.8,"🟡 Kabul Edilebilir","❌ Optimize Et")))</f>
        <v>✅ Hedef Üstü</v>
      </c>
    </row>
    <row r="20" customFormat="false" ht="25.5" hidden="false" customHeight="true" outlineLevel="0" collapsed="false">
      <c r="B20" s="10" t="s">
        <v>26</v>
      </c>
      <c r="C20" s="5" t="n">
        <v>2000</v>
      </c>
      <c r="D20" s="11" t="n">
        <f aca="false">C20/$C$5</f>
        <v>0.04</v>
      </c>
      <c r="E20" s="5" t="n">
        <v>8000</v>
      </c>
      <c r="F20" s="5" t="n">
        <v>2000</v>
      </c>
      <c r="G20" s="12" t="n">
        <v>0.055</v>
      </c>
      <c r="H20" s="13" t="n">
        <f aca="false">ROUND(F20*G20,0)</f>
        <v>110</v>
      </c>
      <c r="I20" s="13" t="n">
        <f aca="false">H20*$C$7</f>
        <v>38500</v>
      </c>
      <c r="J20" s="14" t="n">
        <f aca="false">IF(C20=0,"-",I20/C20)</f>
        <v>19.25</v>
      </c>
      <c r="K20" s="15" t="str">
        <f aca="false">IF(C20=0,"",IF(J20&gt;=$C$8,"✅ Hedef Üstü",IF(J20&gt;=$C$8*0.8,"🟡 Kabul Edilebilir","❌ Optimize Et")))</f>
        <v>✅ Hedef Üstü</v>
      </c>
    </row>
    <row r="21" customFormat="false" ht="25.5" hidden="false" customHeight="true" outlineLevel="0" collapsed="false">
      <c r="A21" s="16" t="s">
        <v>27</v>
      </c>
      <c r="B21" s="16"/>
      <c r="C21" s="17" t="n">
        <f aca="false">SUM(C13:C20)</f>
        <v>50000</v>
      </c>
      <c r="D21" s="18" t="n">
        <f aca="false">C21/$C$5</f>
        <v>1</v>
      </c>
      <c r="E21" s="19" t="n">
        <f aca="false">SUM(E13:E20)</f>
        <v>998000</v>
      </c>
      <c r="F21" s="19" t="n">
        <f aca="false">SUM(F13:F20)</f>
        <v>20000</v>
      </c>
      <c r="G21" s="20"/>
      <c r="H21" s="19" t="n">
        <f aca="false">SUM(H13:H20)</f>
        <v>790</v>
      </c>
      <c r="I21" s="19" t="n">
        <f aca="false">SUM(I13:I20)</f>
        <v>276500</v>
      </c>
      <c r="J21" s="14" t="n">
        <f aca="false">IF(C21=0,"-",I21/C21)</f>
        <v>5.53</v>
      </c>
    </row>
    <row r="23" customFormat="false" ht="19.5" hidden="false" customHeight="true" outlineLevel="0" collapsed="false">
      <c r="B23" s="3" t="s">
        <v>28</v>
      </c>
      <c r="C23" s="3"/>
      <c r="D23" s="3"/>
      <c r="E23" s="3"/>
      <c r="F23" s="3"/>
    </row>
    <row r="24" customFormat="false" ht="21.75" hidden="false" customHeight="true" outlineLevel="0" collapsed="false">
      <c r="B24" s="4" t="s">
        <v>29</v>
      </c>
      <c r="C24" s="21" t="n">
        <f aca="false">C21</f>
        <v>50000</v>
      </c>
      <c r="D24" s="4" t="s">
        <v>30</v>
      </c>
      <c r="E24" s="13" t="n">
        <f aca="false">C5</f>
        <v>50000</v>
      </c>
      <c r="F24" s="4" t="s">
        <v>31</v>
      </c>
      <c r="G24" s="22" t="n">
        <f aca="false">C5-C21</f>
        <v>0</v>
      </c>
    </row>
  </sheetData>
  <mergeCells count="11">
    <mergeCell ref="A1:K1"/>
    <mergeCell ref="A2:K2"/>
    <mergeCell ref="A4:K4"/>
    <mergeCell ref="D5:K5"/>
    <mergeCell ref="D6:K6"/>
    <mergeCell ref="D7:K7"/>
    <mergeCell ref="D8:K8"/>
    <mergeCell ref="D9:K9"/>
    <mergeCell ref="A11:K11"/>
    <mergeCell ref="A21:B21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4" min="3" style="0" width="14"/>
  </cols>
  <sheetData>
    <row r="1" customFormat="false" ht="36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4" hidden="false" customHeight="true" outlineLevel="0" collapsed="false"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9" t="s">
        <v>42</v>
      </c>
      <c r="K4" s="9" t="s">
        <v>43</v>
      </c>
      <c r="L4" s="9" t="s">
        <v>44</v>
      </c>
      <c r="M4" s="9" t="s">
        <v>45</v>
      </c>
      <c r="N4" s="9" t="s">
        <v>46</v>
      </c>
      <c r="O4" s="9" t="s">
        <v>47</v>
      </c>
    </row>
    <row r="5" customFormat="false" ht="24" hidden="false" customHeight="true" outlineLevel="0" collapsed="false">
      <c r="B5" s="10" t="s">
        <v>48</v>
      </c>
      <c r="C5" s="5" t="n">
        <v>50000</v>
      </c>
      <c r="D5" s="23" t="n">
        <v>48000</v>
      </c>
      <c r="E5" s="24" t="n">
        <v>52000</v>
      </c>
      <c r="F5" s="23" t="n">
        <v>49000</v>
      </c>
      <c r="G5" s="25"/>
      <c r="H5" s="25"/>
      <c r="I5" s="25"/>
      <c r="J5" s="25"/>
      <c r="K5" s="25"/>
      <c r="L5" s="25"/>
      <c r="M5" s="25"/>
      <c r="N5" s="25"/>
      <c r="O5" s="25"/>
    </row>
    <row r="6" customFormat="false" ht="24" hidden="false" customHeight="true" outlineLevel="0" collapsed="false">
      <c r="B6" s="10" t="s">
        <v>49</v>
      </c>
      <c r="C6" s="5" t="n">
        <v>250000</v>
      </c>
      <c r="D6" s="24" t="n">
        <v>245000</v>
      </c>
      <c r="E6" s="23" t="n">
        <v>268000</v>
      </c>
      <c r="F6" s="23" t="n">
        <v>252000</v>
      </c>
      <c r="G6" s="25"/>
      <c r="H6" s="25"/>
      <c r="I6" s="25"/>
      <c r="J6" s="25"/>
      <c r="K6" s="25"/>
      <c r="L6" s="25"/>
      <c r="M6" s="25"/>
      <c r="N6" s="25"/>
      <c r="O6" s="25"/>
    </row>
    <row r="7" customFormat="false" ht="24" hidden="false" customHeight="true" outlineLevel="0" collapsed="false">
      <c r="B7" s="10" t="s">
        <v>50</v>
      </c>
      <c r="C7" s="26" t="n">
        <v>5</v>
      </c>
      <c r="D7" s="27" t="n">
        <v>5.1</v>
      </c>
      <c r="E7" s="27" t="n">
        <v>5.15</v>
      </c>
      <c r="F7" s="27" t="n">
        <v>5.14</v>
      </c>
      <c r="G7" s="25"/>
      <c r="H7" s="25"/>
      <c r="I7" s="25"/>
      <c r="J7" s="25"/>
      <c r="K7" s="25"/>
      <c r="L7" s="25"/>
      <c r="M7" s="25"/>
      <c r="N7" s="25"/>
      <c r="O7" s="25"/>
    </row>
    <row r="8" customFormat="false" ht="24" hidden="false" customHeight="true" outlineLevel="0" collapsed="false">
      <c r="B8" s="10" t="s">
        <v>51</v>
      </c>
      <c r="C8" s="5" t="n">
        <v>714</v>
      </c>
      <c r="D8" s="24" t="n">
        <v>701</v>
      </c>
      <c r="E8" s="23" t="n">
        <v>766</v>
      </c>
      <c r="F8" s="23" t="n">
        <v>720</v>
      </c>
      <c r="G8" s="25"/>
      <c r="H8" s="25"/>
      <c r="I8" s="25"/>
      <c r="J8" s="25"/>
      <c r="K8" s="25"/>
      <c r="L8" s="25"/>
      <c r="M8" s="25"/>
      <c r="N8" s="25"/>
      <c r="O8" s="25"/>
    </row>
    <row r="9" customFormat="false" ht="24" hidden="false" customHeight="true" outlineLevel="0" collapsed="false">
      <c r="B9" s="10" t="s">
        <v>52</v>
      </c>
      <c r="C9" s="5" t="n">
        <v>15000</v>
      </c>
      <c r="D9" s="24" t="n">
        <v>14200</v>
      </c>
      <c r="E9" s="23" t="n">
        <v>15800</v>
      </c>
      <c r="F9" s="23" t="n">
        <v>15100</v>
      </c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4" hidden="false" customHeight="true" outlineLevel="0" collapsed="false">
      <c r="B10" s="10" t="s">
        <v>53</v>
      </c>
      <c r="C10" s="12" t="n">
        <v>0.048</v>
      </c>
      <c r="D10" s="28" t="n">
        <v>0.049</v>
      </c>
      <c r="E10" s="28" t="n">
        <v>0.0485</v>
      </c>
      <c r="F10" s="29" t="n">
        <v>0.0476</v>
      </c>
      <c r="G10" s="25"/>
      <c r="H10" s="25"/>
      <c r="I10" s="25"/>
      <c r="J10" s="25"/>
      <c r="K10" s="25"/>
      <c r="L10" s="25"/>
      <c r="M10" s="25"/>
      <c r="N10" s="25"/>
      <c r="O10" s="25"/>
    </row>
    <row r="11" customFormat="false" ht="24" hidden="false" customHeight="true" outlineLevel="0" collapsed="false">
      <c r="B11" s="10" t="s">
        <v>54</v>
      </c>
      <c r="C11" s="8" t="n">
        <v>70</v>
      </c>
      <c r="D11" s="30" t="n">
        <v>68.5</v>
      </c>
      <c r="E11" s="30" t="n">
        <v>67.9</v>
      </c>
      <c r="F11" s="30" t="n">
        <v>68.1</v>
      </c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24" hidden="false" customHeight="true" outlineLevel="0" collapsed="false">
      <c r="B12" s="10" t="s">
        <v>55</v>
      </c>
      <c r="C12" s="12" t="n">
        <v>0.35</v>
      </c>
      <c r="D12" s="28" t="n">
        <v>0.38</v>
      </c>
      <c r="E12" s="28" t="n">
        <v>0.36</v>
      </c>
      <c r="F12" s="29" t="n">
        <v>0.34</v>
      </c>
      <c r="G12" s="25"/>
      <c r="H12" s="25"/>
      <c r="I12" s="25"/>
      <c r="J12" s="25"/>
      <c r="K12" s="25"/>
      <c r="L12" s="25"/>
      <c r="M12" s="25"/>
      <c r="N12" s="25"/>
      <c r="O12" s="25"/>
    </row>
    <row r="14" customFormat="false" ht="19.5" hidden="false" customHeight="true" outlineLevel="0" collapsed="false">
      <c r="B14" s="9" t="s">
        <v>34</v>
      </c>
      <c r="C14" s="9" t="s">
        <v>56</v>
      </c>
      <c r="D14" s="31" t="s">
        <v>36</v>
      </c>
      <c r="E14" s="31" t="s">
        <v>37</v>
      </c>
      <c r="F14" s="31" t="s">
        <v>38</v>
      </c>
      <c r="G14" s="31" t="s">
        <v>39</v>
      </c>
      <c r="H14" s="31" t="s">
        <v>40</v>
      </c>
      <c r="I14" s="31" t="s">
        <v>41</v>
      </c>
      <c r="J14" s="31" t="s">
        <v>42</v>
      </c>
      <c r="K14" s="31" t="s">
        <v>43</v>
      </c>
      <c r="L14" s="31" t="s">
        <v>44</v>
      </c>
      <c r="M14" s="31" t="s">
        <v>45</v>
      </c>
      <c r="N14" s="31" t="s">
        <v>46</v>
      </c>
      <c r="O14" s="31" t="s">
        <v>47</v>
      </c>
    </row>
    <row r="15" customFormat="false" ht="21.75" hidden="false" customHeight="true" outlineLevel="0" collapsed="false">
      <c r="B15" s="4" t="s">
        <v>57</v>
      </c>
      <c r="C15" s="13" t="n">
        <f aca="false">C5*12</f>
        <v>600000</v>
      </c>
      <c r="D15" s="13" t="n">
        <f aca="false">IF(D5=0,"-",D5)</f>
        <v>48000</v>
      </c>
      <c r="E15" s="13" t="n">
        <f aca="false">IF(E5=0,"-",D15+E5)</f>
        <v>100000</v>
      </c>
      <c r="F15" s="13" t="n">
        <f aca="false">IF(F5=0,"-",E15+F5)</f>
        <v>149000</v>
      </c>
      <c r="G15" s="13" t="str">
        <f aca="false">IF(G5=0,"-",F15+G5)</f>
        <v>-</v>
      </c>
      <c r="H15" s="13" t="str">
        <f aca="false">IF(H5=0,"-",G15+H5)</f>
        <v>-</v>
      </c>
      <c r="I15" s="13" t="str">
        <f aca="false">IF(I5=0,"-",H15+I5)</f>
        <v>-</v>
      </c>
      <c r="J15" s="13" t="str">
        <f aca="false">IF(J5=0,"-",I15+J5)</f>
        <v>-</v>
      </c>
      <c r="K15" s="13" t="str">
        <f aca="false">IF(K5=0,"-",J15+K5)</f>
        <v>-</v>
      </c>
      <c r="L15" s="13" t="str">
        <f aca="false">IF(L5=0,"-",K15+L5)</f>
        <v>-</v>
      </c>
      <c r="M15" s="13" t="str">
        <f aca="false">IF(M5=0,"-",L15+M5)</f>
        <v>-</v>
      </c>
      <c r="N15" s="13" t="str">
        <f aca="false">IF(N5=0,"-",M15+N5)</f>
        <v>-</v>
      </c>
      <c r="O15" s="13" t="str">
        <f aca="false">IF(O5=0,"-",N15+O5)</f>
        <v>-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35"/>
    <col collapsed="false" customWidth="true" hidden="false" outlineLevel="0" max="6" min="6" style="0" width="20"/>
  </cols>
  <sheetData>
    <row r="1" customFormat="false" ht="36" hidden="false" customHeight="true" outlineLevel="0" collapsed="false">
      <c r="A1" s="1" t="s">
        <v>58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59</v>
      </c>
      <c r="B2" s="2"/>
      <c r="C2" s="2"/>
      <c r="D2" s="2"/>
      <c r="E2" s="2"/>
      <c r="F2" s="2"/>
    </row>
    <row r="4" customFormat="false" ht="27.75" hidden="false" customHeight="true" outlineLevel="0" collapsed="false">
      <c r="B4" s="9" t="s">
        <v>9</v>
      </c>
      <c r="C4" s="9" t="s">
        <v>60</v>
      </c>
      <c r="D4" s="9" t="s">
        <v>61</v>
      </c>
      <c r="E4" s="9" t="s">
        <v>62</v>
      </c>
      <c r="F4" s="9" t="s">
        <v>63</v>
      </c>
    </row>
    <row r="5" customFormat="false" ht="79.5" hidden="false" customHeight="true" outlineLevel="0" collapsed="false">
      <c r="B5" s="32" t="s">
        <v>64</v>
      </c>
      <c r="C5" s="33" t="s">
        <v>65</v>
      </c>
      <c r="D5" s="34" t="s">
        <v>66</v>
      </c>
      <c r="E5" s="35" t="s">
        <v>67</v>
      </c>
      <c r="F5" s="33" t="s">
        <v>68</v>
      </c>
    </row>
    <row r="6" customFormat="false" ht="79.5" hidden="false" customHeight="true" outlineLevel="0" collapsed="false">
      <c r="B6" s="32" t="s">
        <v>69</v>
      </c>
      <c r="C6" s="33" t="s">
        <v>70</v>
      </c>
      <c r="D6" s="34" t="s">
        <v>71</v>
      </c>
      <c r="E6" s="35" t="s">
        <v>72</v>
      </c>
      <c r="F6" s="33" t="s">
        <v>73</v>
      </c>
    </row>
    <row r="7" customFormat="false" ht="79.5" hidden="false" customHeight="true" outlineLevel="0" collapsed="false">
      <c r="B7" s="32" t="s">
        <v>22</v>
      </c>
      <c r="C7" s="33" t="s">
        <v>74</v>
      </c>
      <c r="D7" s="34" t="s">
        <v>75</v>
      </c>
      <c r="E7" s="35" t="s">
        <v>76</v>
      </c>
      <c r="F7" s="33" t="s">
        <v>77</v>
      </c>
    </row>
    <row r="8" customFormat="false" ht="79.5" hidden="false" customHeight="true" outlineLevel="0" collapsed="false">
      <c r="B8" s="32" t="s">
        <v>78</v>
      </c>
      <c r="C8" s="33" t="s">
        <v>79</v>
      </c>
      <c r="D8" s="34" t="s">
        <v>80</v>
      </c>
      <c r="E8" s="35" t="s">
        <v>81</v>
      </c>
      <c r="F8" s="33" t="s">
        <v>82</v>
      </c>
    </row>
    <row r="9" customFormat="false" ht="79.5" hidden="false" customHeight="true" outlineLevel="0" collapsed="false">
      <c r="B9" s="32" t="s">
        <v>83</v>
      </c>
      <c r="C9" s="33" t="s">
        <v>84</v>
      </c>
      <c r="D9" s="34" t="s">
        <v>85</v>
      </c>
      <c r="E9" s="35" t="s">
        <v>86</v>
      </c>
      <c r="F9" s="33" t="s">
        <v>87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2026-04-29T08:33:52Z</dcterms:created>
  <dc:creator>openpyxl</dc:creator>
  <dc:description/>
  <dc:language>en-US</dc:language>
  <cp:lastModifiedBy/>
  <dcterms:modified xsi:type="dcterms:W3CDTF">2026-04-29T08:33:52Z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