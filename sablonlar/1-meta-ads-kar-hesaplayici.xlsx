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📦 Ürün Kâr Analizi" sheetId="1" state="visible" r:id="rId3"/>
    <sheet name="🎯 Kampanya Hesaplayıcı" sheetId="2" state="visible" r:id="rId4"/>
    <sheet name="🎯 Hedef Planlayıcı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<sst xmlns="http://schemas.openxmlformats.org/spreadsheetml/2006/main" count="93" uniqueCount="83">
  <si>
    <t xml:space="preserve">META ADS — NET KÂR HESAPLAYICI</t>
  </si>
  <si>
    <t xml:space="preserve">Mavi hücreler = giriş alanı  |  Siyah hücreler = otomatik hesaplanır  |  Altın hücreler = kritik sonuçlar</t>
  </si>
  <si>
    <t xml:space="preserve">⚙️  ÜRÜN MALİYET BİLGİLERİ</t>
  </si>
  <si>
    <t xml:space="preserve">Alan</t>
  </si>
  <si>
    <t xml:space="preserve">Değer</t>
  </si>
  <si>
    <t xml:space="preserve">Birim</t>
  </si>
  <si>
    <t xml:space="preserve">Açıklama</t>
  </si>
  <si>
    <t xml:space="preserve">Satış Fiyatı</t>
  </si>
  <si>
    <t xml:space="preserve">TL</t>
  </si>
  <si>
    <t xml:space="preserve">KDV dahil son satış fiyatı</t>
  </si>
  <si>
    <t xml:space="preserve">Ürün Maliyeti</t>
  </si>
  <si>
    <t xml:space="preserve">Tedarik / üretim maliyeti</t>
  </si>
  <si>
    <t xml:space="preserve">Kargo Gideri</t>
  </si>
  <si>
    <t xml:space="preserve">Gönderi başına kargo ücreti</t>
  </si>
  <si>
    <t xml:space="preserve">Paketleme</t>
  </si>
  <si>
    <t xml:space="preserve">Kutu, bant, dolgu malzemesi</t>
  </si>
  <si>
    <t xml:space="preserve">İade Oranı</t>
  </si>
  <si>
    <t xml:space="preserve">%</t>
  </si>
  <si>
    <t xml:space="preserve">Örn: 0.05 = %5 iade</t>
  </si>
  <si>
    <t xml:space="preserve">Ödeme Komisyonu</t>
  </si>
  <si>
    <t xml:space="preserve">iyzico/Stripe/Masterpass vs. Örn: 0.025 = %2,5</t>
  </si>
  <si>
    <t xml:space="preserve">İade İşlem Gid.</t>
  </si>
  <si>
    <t xml:space="preserve">İade başına operasyonel maliyet</t>
  </si>
  <si>
    <t xml:space="preserve">📊  OTOMATİK HESAPLAMALAR</t>
  </si>
  <si>
    <t xml:space="preserve">Kalem</t>
  </si>
  <si>
    <t xml:space="preserve">Tutar (TL)</t>
  </si>
  <si>
    <t xml:space="preserve">Ödeme Komisyonu (TL)</t>
  </si>
  <si>
    <t xml:space="preserve">Satış fiyatı × komisyon oranı</t>
  </si>
  <si>
    <t xml:space="preserve">İade Maliyeti (TL)</t>
  </si>
  <si>
    <t xml:space="preserve">İade edilen ürün maliyeti + işlem gideri</t>
  </si>
  <si>
    <t xml:space="preserve">Toplam Değişken Maliyet</t>
  </si>
  <si>
    <t xml:space="preserve">Tüm değişken giderler toplamı</t>
  </si>
  <si>
    <t xml:space="preserve">Brüt Kâr (Reklamsız)</t>
  </si>
  <si>
    <t xml:space="preserve">Reklamdan önce bir satıştan kalan</t>
  </si>
  <si>
    <t xml:space="preserve">Brüt Kâr Marjı (%)</t>
  </si>
  <si>
    <t xml:space="preserve">Ne kadarı kâr — hedef &gt;%25</t>
  </si>
  <si>
    <t xml:space="preserve">BAŞABAŞ ROAS</t>
  </si>
  <si>
    <t xml:space="preserve">Bu ROAS altında zarar edersin!</t>
  </si>
  <si>
    <t xml:space="preserve">Hedef ROAS (%20 net kâr için)</t>
  </si>
  <si>
    <t xml:space="preserve">Net %20 kâr için gereken minimum ROAS</t>
  </si>
  <si>
    <t xml:space="preserve">KAMPANYA BAZLI NET KÂR ANALİZİ</t>
  </si>
  <si>
    <t xml:space="preserve">Başabaş ROAS &amp; Net Kâr referansı: '📦 Ürün Kâr Analizi' sayfasından otomatik alınır</t>
  </si>
  <si>
    <t xml:space="preserve">Kampanya Adı</t>
  </si>
  <si>
    <t xml:space="preserve">Reklam Harcaması (TL)</t>
  </si>
  <si>
    <t xml:space="preserve">Tıklama Sayısı</t>
  </si>
  <si>
    <t xml:space="preserve">Dönüşüm (Satış)</t>
  </si>
  <si>
    <t xml:space="preserve">Toplam Gelir (TL)</t>
  </si>
  <si>
    <t xml:space="preserve">ROAS</t>
  </si>
  <si>
    <t xml:space="preserve">Net Kâr (TL)</t>
  </si>
  <si>
    <t xml:space="preserve">Durum</t>
  </si>
  <si>
    <t xml:space="preserve">Kampanya 1</t>
  </si>
  <si>
    <t xml:space="preserve">Kampanya 2</t>
  </si>
  <si>
    <t xml:space="preserve">Kampanya 3</t>
  </si>
  <si>
    <t xml:space="preserve">Kampanya 4</t>
  </si>
  <si>
    <t xml:space="preserve">Kampanya 5</t>
  </si>
  <si>
    <t xml:space="preserve">Kampanya 6</t>
  </si>
  <si>
    <t xml:space="preserve">Kampanya 7</t>
  </si>
  <si>
    <t xml:space="preserve">Kampanya 8</t>
  </si>
  <si>
    <t xml:space="preserve">Kampanya 9</t>
  </si>
  <si>
    <t xml:space="preserve">Kampanya 10</t>
  </si>
  <si>
    <t xml:space="preserve">TOPLAM / ORTALAMA</t>
  </si>
  <si>
    <t xml:space="preserve">HEDEF BAZLI KAMPANYA PLANLAYICI</t>
  </si>
  <si>
    <t xml:space="preserve">Elde etmek istediğin kârı gir → gerekli reklam bütçesi &amp; satış hedefi otomatik hesaplanır</t>
  </si>
  <si>
    <t xml:space="preserve">🎯  HEDEFLERİNİ GİR</t>
  </si>
  <si>
    <t xml:space="preserve">Bu Ayın Kâr Hedefi (TL)</t>
  </si>
  <si>
    <t xml:space="preserve">Hedeflenen Dönüşüm Oranı (%)</t>
  </si>
  <si>
    <t xml:space="preserve">Ortalama CPC (TL)</t>
  </si>
  <si>
    <t xml:space="preserve">📐  OTOMATİK HESAPLAMALAR</t>
  </si>
  <si>
    <t xml:space="preserve">Hesaplama</t>
  </si>
  <si>
    <t xml:space="preserve">Sonuç</t>
  </si>
  <si>
    <t xml:space="preserve">Nasıl Hesaplandı?</t>
  </si>
  <si>
    <t xml:space="preserve">Hedef Satış Adedi</t>
  </si>
  <si>
    <t xml:space="preserve">Hedef kâr ÷ satış başı brüt kâr</t>
  </si>
  <si>
    <t xml:space="preserve">Gereken Toplam Trafik</t>
  </si>
  <si>
    <t xml:space="preserve">Hedef satış ÷ dönüşüm oranı</t>
  </si>
  <si>
    <t xml:space="preserve">Tahmini Reklam Bütçesi</t>
  </si>
  <si>
    <t xml:space="preserve">Gereken trafik × ortalama CPC</t>
  </si>
  <si>
    <t xml:space="preserve">Hedef ROAS</t>
  </si>
  <si>
    <t xml:space="preserve">Beklenen gelir ÷ reklam harcaması</t>
  </si>
  <si>
    <t xml:space="preserve">CPO (Satış Başı Maliyet)</t>
  </si>
  <si>
    <t xml:space="preserve">Reklam bütçesi ÷ satış adedi</t>
  </si>
  <si>
    <t xml:space="preserve">Günlük Bütçe Hedefi</t>
  </si>
  <si>
    <t xml:space="preserve">Aylık bütçe ÷ 30 gün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</si>
</sst>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%"/>
    <numFmt numFmtId="167" formatCode="0.00\x"/>
    <numFmt numFmtId="168" formatCode="#,##0"/>
    <numFmt numFmtId="169" formatCode="0.00\x"/>
    <numFmt numFmtId="170" formatCode="#,##0.00;\(#,##0.00\);\-"/>
    <numFmt numFmtId="171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0"/>
      <color rgb="FF495057"/>
      <name val="Arial"/>
      <family val="0"/>
      <charset val="1"/>
    </font>
    <font>
      <sz val="9"/>
      <color rgb="FF495057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495057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495057"/>
        <bgColor rgb="FF374151"/>
      </patternFill>
    </fill>
    <fill>
      <patternFill patternType="solid">
        <fgColor rgb="FFC9A84C"/>
        <bgColor rgb="FFFF9900"/>
      </patternFill>
    </fill>
    <fill>
      <patternFill patternType="solid">
        <fgColor rgb="FF374151"/>
        <bgColor rgb="FF495057"/>
      </patternFill>
    </fill>
    <fill>
      <patternFill patternType="solid">
        <fgColor rgb="FFDBEAFE"/>
        <bgColor rgb="FFCCFFFF"/>
      </patternFill>
    </fill>
    <fill>
      <patternFill patternType="solid">
        <fgColor rgb="FFF5E6B8"/>
        <bgColor rgb="FFFFCC99"/>
      </patternFill>
    </fill>
    <fill>
      <patternFill patternType="solid">
        <fgColor rgb="FFF8F9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8F9FA"/>
      <rgbColor rgb="FFDBEAFE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B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95057"/>
      <rgbColor rgb="FFC9A84C"/>
      <rgbColor rgb="FF003366"/>
      <rgbColor rgb="FF339966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18"/>
    <col collapsed="false" customWidth="true" hidden="false" outlineLevel="0" max="7" min="7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9.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9.5" hidden="false" customHeight="true" outlineLevel="0" collapsed="false">
      <c r="B6" s="6" t="s">
        <v>7</v>
      </c>
      <c r="C6" s="7" t="n">
        <v>299</v>
      </c>
      <c r="D6" s="8" t="s">
        <v>8</v>
      </c>
      <c r="E6" s="9"/>
      <c r="F6" s="9"/>
      <c r="G6" s="10" t="s">
        <v>9</v>
      </c>
    </row>
    <row r="7" customFormat="false" ht="19.5" hidden="false" customHeight="true" outlineLevel="0" collapsed="false">
      <c r="B7" s="6" t="s">
        <v>10</v>
      </c>
      <c r="C7" s="7" t="n">
        <v>80</v>
      </c>
      <c r="D7" s="8" t="s">
        <v>8</v>
      </c>
      <c r="E7" s="9"/>
      <c r="F7" s="9"/>
      <c r="G7" s="10" t="s">
        <v>11</v>
      </c>
    </row>
    <row r="8" customFormat="false" ht="19.5" hidden="false" customHeight="true" outlineLevel="0" collapsed="false">
      <c r="B8" s="6" t="s">
        <v>12</v>
      </c>
      <c r="C8" s="7" t="n">
        <v>25</v>
      </c>
      <c r="D8" s="8" t="s">
        <v>8</v>
      </c>
      <c r="E8" s="9"/>
      <c r="F8" s="9"/>
      <c r="G8" s="10" t="s">
        <v>13</v>
      </c>
    </row>
    <row r="9" customFormat="false" ht="19.5" hidden="false" customHeight="true" outlineLevel="0" collapsed="false">
      <c r="B9" s="6" t="s">
        <v>14</v>
      </c>
      <c r="C9" s="7" t="n">
        <v>5</v>
      </c>
      <c r="D9" s="8" t="s">
        <v>8</v>
      </c>
      <c r="E9" s="9"/>
      <c r="F9" s="9"/>
      <c r="G9" s="10" t="s">
        <v>15</v>
      </c>
    </row>
    <row r="10" customFormat="false" ht="19.5" hidden="false" customHeight="true" outlineLevel="0" collapsed="false">
      <c r="B10" s="6" t="s">
        <v>16</v>
      </c>
      <c r="C10" s="11" t="n">
        <v>0.05</v>
      </c>
      <c r="D10" s="8" t="s">
        <v>17</v>
      </c>
      <c r="E10" s="9"/>
      <c r="F10" s="9"/>
      <c r="G10" s="10" t="s">
        <v>18</v>
      </c>
    </row>
    <row r="11" customFormat="false" ht="19.5" hidden="false" customHeight="true" outlineLevel="0" collapsed="false">
      <c r="B11" s="6" t="s">
        <v>19</v>
      </c>
      <c r="C11" s="11" t="n">
        <v>0.025</v>
      </c>
      <c r="D11" s="8" t="s">
        <v>17</v>
      </c>
      <c r="E11" s="9"/>
      <c r="F11" s="9"/>
      <c r="G11" s="10" t="s">
        <v>20</v>
      </c>
    </row>
    <row r="12" customFormat="false" ht="19.5" hidden="false" customHeight="true" outlineLevel="0" collapsed="false">
      <c r="B12" s="6" t="s">
        <v>21</v>
      </c>
      <c r="C12" s="7" t="n">
        <v>15</v>
      </c>
      <c r="D12" s="8" t="s">
        <v>8</v>
      </c>
      <c r="E12" s="9"/>
      <c r="F12" s="9"/>
      <c r="G12" s="10" t="s">
        <v>22</v>
      </c>
    </row>
    <row r="14" customFormat="false" ht="21.75" hidden="false" customHeight="true" outlineLevel="0" collapsed="false">
      <c r="B14" s="4" t="s">
        <v>23</v>
      </c>
      <c r="C14" s="4"/>
      <c r="D14" s="4"/>
      <c r="E14" s="4"/>
      <c r="F14" s="4"/>
      <c r="G14" s="4"/>
    </row>
    <row r="15" customFormat="false" ht="19.5" hidden="false" customHeight="true" outlineLevel="0" collapsed="false">
      <c r="B15" s="5" t="s">
        <v>24</v>
      </c>
      <c r="C15" s="5" t="s">
        <v>25</v>
      </c>
      <c r="D15" s="5" t="s">
        <v>6</v>
      </c>
      <c r="E15" s="5"/>
      <c r="F15" s="5"/>
      <c r="G15" s="5"/>
    </row>
    <row r="16" customFormat="false" ht="19.5" hidden="false" customHeight="true" outlineLevel="0" collapsed="false">
      <c r="B16" s="6" t="s">
        <v>26</v>
      </c>
      <c r="C16" s="12" t="n">
        <f aca="false">C6*C11</f>
        <v>7.475</v>
      </c>
      <c r="D16" s="13" t="s">
        <v>27</v>
      </c>
      <c r="E16" s="13"/>
      <c r="F16" s="13"/>
      <c r="G16" s="13"/>
    </row>
    <row r="17" customFormat="false" ht="19.5" hidden="false" customHeight="true" outlineLevel="0" collapsed="false">
      <c r="B17" s="6" t="s">
        <v>28</v>
      </c>
      <c r="C17" s="12" t="n">
        <f aca="false">C10*(C7+C12)</f>
        <v>4.75</v>
      </c>
      <c r="D17" s="13" t="s">
        <v>29</v>
      </c>
      <c r="E17" s="13"/>
      <c r="F17" s="13"/>
      <c r="G17" s="13"/>
    </row>
    <row r="18" customFormat="false" ht="19.5" hidden="false" customHeight="true" outlineLevel="0" collapsed="false">
      <c r="B18" s="6" t="s">
        <v>30</v>
      </c>
      <c r="C18" s="12" t="n">
        <f aca="false">C7+C8+C9+C16+C17</f>
        <v>122.225</v>
      </c>
      <c r="D18" s="13" t="s">
        <v>31</v>
      </c>
      <c r="E18" s="13"/>
      <c r="F18" s="13"/>
      <c r="G18" s="13"/>
    </row>
    <row r="19" customFormat="false" ht="19.5" hidden="false" customHeight="true" outlineLevel="0" collapsed="false">
      <c r="B19" s="6" t="s">
        <v>32</v>
      </c>
      <c r="C19" s="12" t="n">
        <f aca="false">C6-C18</f>
        <v>176.775</v>
      </c>
      <c r="D19" s="13" t="s">
        <v>33</v>
      </c>
      <c r="E19" s="13"/>
      <c r="F19" s="13"/>
      <c r="G19" s="13"/>
    </row>
    <row r="20" customFormat="false" ht="19.5" hidden="false" customHeight="true" outlineLevel="0" collapsed="false">
      <c r="B20" s="6" t="s">
        <v>34</v>
      </c>
      <c r="C20" s="14" t="n">
        <f aca="false">C19/C6</f>
        <v>0.591220735785953</v>
      </c>
      <c r="D20" s="13" t="s">
        <v>35</v>
      </c>
      <c r="E20" s="13"/>
      <c r="F20" s="13"/>
      <c r="G20" s="13"/>
    </row>
    <row r="21" customFormat="false" ht="19.5" hidden="false" customHeight="true" outlineLevel="0" collapsed="false">
      <c r="B21" s="6" t="s">
        <v>36</v>
      </c>
      <c r="C21" s="15" t="n">
        <f aca="false">IF(C19&lt;=0,"-",C6/C19)</f>
        <v>1.691415641352</v>
      </c>
      <c r="D21" s="13" t="s">
        <v>37</v>
      </c>
      <c r="E21" s="13"/>
      <c r="F21" s="13"/>
      <c r="G21" s="13"/>
    </row>
    <row r="22" customFormat="false" ht="19.5" hidden="false" customHeight="true" outlineLevel="0" collapsed="false">
      <c r="B22" s="6" t="s">
        <v>38</v>
      </c>
      <c r="C22" s="15" t="n">
        <f aca="false">IF(C19&lt;=0,"-",(C6)/(C19-C6*0.2))</f>
        <v>2.55610173113913</v>
      </c>
      <c r="D22" s="13" t="s">
        <v>39</v>
      </c>
      <c r="E22" s="13"/>
      <c r="F22" s="13"/>
      <c r="G22" s="13"/>
    </row>
  </sheetData>
  <mergeCells count="12">
    <mergeCell ref="A1:G1"/>
    <mergeCell ref="A2:G2"/>
    <mergeCell ref="B4:G4"/>
    <mergeCell ref="B14:G14"/>
    <mergeCell ref="D15:G15"/>
    <mergeCell ref="D16:G16"/>
    <mergeCell ref="D17:G17"/>
    <mergeCell ref="D18:G18"/>
    <mergeCell ref="D19:G19"/>
    <mergeCell ref="D20:G20"/>
    <mergeCell ref="D21:G21"/>
    <mergeCell ref="D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8" min="3" style="1" width="14"/>
    <col collapsed="false" customWidth="true" hidden="false" outlineLevel="0" max="9" min="9" style="1" width="22"/>
  </cols>
  <sheetData>
    <row r="1" customFormat="false" ht="36" hidden="false" customHeight="true" outlineLevel="0" collapsed="false">
      <c r="A1" s="2" t="s">
        <v>40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41</v>
      </c>
      <c r="B2" s="3"/>
      <c r="C2" s="3"/>
      <c r="D2" s="3"/>
      <c r="E2" s="3"/>
      <c r="F2" s="3"/>
      <c r="G2" s="3"/>
      <c r="H2" s="3"/>
      <c r="I2" s="3"/>
    </row>
    <row r="4" customFormat="false" ht="19.5" hidden="false" customHeight="true" outlineLevel="0" collapsed="false"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customFormat="false" ht="21.75" hidden="false" customHeight="true" outlineLevel="0" collapsed="false">
      <c r="B5" s="16" t="s">
        <v>50</v>
      </c>
      <c r="C5" s="17" t="n">
        <v>1000</v>
      </c>
      <c r="D5" s="17" t="n">
        <v>450</v>
      </c>
      <c r="E5" s="17" t="n">
        <v>18</v>
      </c>
      <c r="F5" s="7" t="n">
        <v>5382</v>
      </c>
      <c r="G5" s="18" t="n">
        <f aca="false">IF(F5=0,"-",F5/C5)</f>
        <v>5.382</v>
      </c>
      <c r="H5" s="19" t="n">
        <f aca="false">IF(C5=0,"-",E5*'📦 Ürün Kâr Analizi'!C19-C5)</f>
        <v>2181.95</v>
      </c>
      <c r="I5" s="20" t="str">
        <f aca="false">IF(C5=0,"",IF(G5&gt;='📦 Ürün Kâr Analizi'!C21,"✅ Kârlı","❌ Zararlı"))</f>
        <v>✅ Kârlı</v>
      </c>
    </row>
    <row r="6" customFormat="false" ht="21.75" hidden="false" customHeight="true" outlineLevel="0" collapsed="false">
      <c r="B6" s="16" t="s">
        <v>51</v>
      </c>
      <c r="C6" s="17"/>
      <c r="D6" s="17"/>
      <c r="E6" s="17"/>
      <c r="F6" s="7"/>
      <c r="G6" s="18" t="str">
        <f aca="false">IF(F6=0,"-",F6/C6)</f>
        <v>-</v>
      </c>
      <c r="H6" s="19" t="str">
        <f aca="false">IF(C6=0,"-",E6*'📦 Ürün Kâr Analizi'!C19-C6)</f>
        <v>-</v>
      </c>
      <c r="I6" s="20" t="str">
        <f aca="false">IF(C6=0,"",IF(G6&gt;='📦 Ürün Kâr Analizi'!C21,"✅ Kârlı","❌ Zararlı"))</f>
        <v/>
      </c>
    </row>
    <row r="7" customFormat="false" ht="21.75" hidden="false" customHeight="true" outlineLevel="0" collapsed="false">
      <c r="B7" s="16" t="s">
        <v>52</v>
      </c>
      <c r="C7" s="17"/>
      <c r="D7" s="17"/>
      <c r="E7" s="17"/>
      <c r="F7" s="7"/>
      <c r="G7" s="18" t="str">
        <f aca="false">IF(F7=0,"-",F7/C7)</f>
        <v>-</v>
      </c>
      <c r="H7" s="19" t="str">
        <f aca="false">IF(C7=0,"-",E7*'📦 Ürün Kâr Analizi'!C19-C7)</f>
        <v>-</v>
      </c>
      <c r="I7" s="20" t="str">
        <f aca="false">IF(C7=0,"",IF(G7&gt;='📦 Ürün Kâr Analizi'!C21,"✅ Kârlı","❌ Zararlı"))</f>
        <v/>
      </c>
    </row>
    <row r="8" customFormat="false" ht="21.75" hidden="false" customHeight="true" outlineLevel="0" collapsed="false">
      <c r="B8" s="16" t="s">
        <v>53</v>
      </c>
      <c r="C8" s="17"/>
      <c r="D8" s="17"/>
      <c r="E8" s="17"/>
      <c r="F8" s="7"/>
      <c r="G8" s="18" t="str">
        <f aca="false">IF(F8=0,"-",F8/C8)</f>
        <v>-</v>
      </c>
      <c r="H8" s="19" t="str">
        <f aca="false">IF(C8=0,"-",E8*'📦 Ürün Kâr Analizi'!C19-C8)</f>
        <v>-</v>
      </c>
      <c r="I8" s="20" t="str">
        <f aca="false">IF(C8=0,"",IF(G8&gt;='📦 Ürün Kâr Analizi'!C21,"✅ Kârlı","❌ Zararlı"))</f>
        <v/>
      </c>
    </row>
    <row r="9" customFormat="false" ht="21.75" hidden="false" customHeight="true" outlineLevel="0" collapsed="false">
      <c r="B9" s="16" t="s">
        <v>54</v>
      </c>
      <c r="C9" s="17"/>
      <c r="D9" s="17"/>
      <c r="E9" s="17"/>
      <c r="F9" s="7"/>
      <c r="G9" s="18" t="str">
        <f aca="false">IF(F9=0,"-",F9/C9)</f>
        <v>-</v>
      </c>
      <c r="H9" s="19" t="str">
        <f aca="false">IF(C9=0,"-",E9*'📦 Ürün Kâr Analizi'!C19-C9)</f>
        <v>-</v>
      </c>
      <c r="I9" s="20" t="str">
        <f aca="false">IF(C9=0,"",IF(G9&gt;='📦 Ürün Kâr Analizi'!C21,"✅ Kârlı","❌ Zararlı"))</f>
        <v/>
      </c>
    </row>
    <row r="10" customFormat="false" ht="21.75" hidden="false" customHeight="true" outlineLevel="0" collapsed="false">
      <c r="B10" s="16" t="s">
        <v>55</v>
      </c>
      <c r="C10" s="17"/>
      <c r="D10" s="17"/>
      <c r="E10" s="17"/>
      <c r="F10" s="7"/>
      <c r="G10" s="18" t="str">
        <f aca="false">IF(F10=0,"-",F10/C10)</f>
        <v>-</v>
      </c>
      <c r="H10" s="19" t="str">
        <f aca="false">IF(C10=0,"-",E10*'📦 Ürün Kâr Analizi'!C19-C10)</f>
        <v>-</v>
      </c>
      <c r="I10" s="20" t="str">
        <f aca="false">IF(C10=0,"",IF(G10&gt;='📦 Ürün Kâr Analizi'!C21,"✅ Kârlı","❌ Zararlı"))</f>
        <v/>
      </c>
    </row>
    <row r="11" customFormat="false" ht="21.75" hidden="false" customHeight="true" outlineLevel="0" collapsed="false">
      <c r="B11" s="16" t="s">
        <v>56</v>
      </c>
      <c r="C11" s="17"/>
      <c r="D11" s="17"/>
      <c r="E11" s="17"/>
      <c r="F11" s="7"/>
      <c r="G11" s="18" t="str">
        <f aca="false">IF(F11=0,"-",F11/C11)</f>
        <v>-</v>
      </c>
      <c r="H11" s="19" t="str">
        <f aca="false">IF(C11=0,"-",E11*'📦 Ürün Kâr Analizi'!C19-C11)</f>
        <v>-</v>
      </c>
      <c r="I11" s="20" t="str">
        <f aca="false">IF(C11=0,"",IF(G11&gt;='📦 Ürün Kâr Analizi'!C21,"✅ Kârlı","❌ Zararlı"))</f>
        <v/>
      </c>
    </row>
    <row r="12" customFormat="false" ht="21.75" hidden="false" customHeight="true" outlineLevel="0" collapsed="false">
      <c r="B12" s="16" t="s">
        <v>57</v>
      </c>
      <c r="C12" s="17"/>
      <c r="D12" s="17"/>
      <c r="E12" s="17"/>
      <c r="F12" s="7"/>
      <c r="G12" s="18" t="str">
        <f aca="false">IF(F12=0,"-",F12/C12)</f>
        <v>-</v>
      </c>
      <c r="H12" s="19" t="str">
        <f aca="false">IF(C12=0,"-",E12*'📦 Ürün Kâr Analizi'!C19-C12)</f>
        <v>-</v>
      </c>
      <c r="I12" s="20" t="str">
        <f aca="false">IF(C12=0,"",IF(G12&gt;='📦 Ürün Kâr Analizi'!C21,"✅ Kârlı","❌ Zararlı"))</f>
        <v/>
      </c>
    </row>
    <row r="13" customFormat="false" ht="21.75" hidden="false" customHeight="true" outlineLevel="0" collapsed="false">
      <c r="B13" s="16" t="s">
        <v>58</v>
      </c>
      <c r="C13" s="17"/>
      <c r="D13" s="17"/>
      <c r="E13" s="17"/>
      <c r="F13" s="7"/>
      <c r="G13" s="18" t="str">
        <f aca="false">IF(F13=0,"-",F13/C13)</f>
        <v>-</v>
      </c>
      <c r="H13" s="19" t="str">
        <f aca="false">IF(C13=0,"-",E13*'📦 Ürün Kâr Analizi'!C19-C13)</f>
        <v>-</v>
      </c>
      <c r="I13" s="20" t="str">
        <f aca="false">IF(C13=0,"",IF(G13&gt;='📦 Ürün Kâr Analizi'!C21,"✅ Kârlı","❌ Zararlı"))</f>
        <v/>
      </c>
    </row>
    <row r="14" customFormat="false" ht="21.75" hidden="false" customHeight="true" outlineLevel="0" collapsed="false">
      <c r="B14" s="16" t="s">
        <v>59</v>
      </c>
      <c r="C14" s="17"/>
      <c r="D14" s="17"/>
      <c r="E14" s="17"/>
      <c r="F14" s="7"/>
      <c r="G14" s="18" t="str">
        <f aca="false">IF(F14=0,"-",F14/C14)</f>
        <v>-</v>
      </c>
      <c r="H14" s="19" t="str">
        <f aca="false">IF(C14=0,"-",E14*'📦 Ürün Kâr Analizi'!C19-C14)</f>
        <v>-</v>
      </c>
      <c r="I14" s="20" t="str">
        <f aca="false">IF(C14=0,"",IF(G14&gt;='📦 Ürün Kâr Analizi'!C21,"✅ Kârlı","❌ Zararlı"))</f>
        <v/>
      </c>
    </row>
    <row r="16" customFormat="false" ht="24" hidden="false" customHeight="true" outlineLevel="0" collapsed="false">
      <c r="B16" s="21" t="s">
        <v>60</v>
      </c>
      <c r="C16" s="22" t="n">
        <f aca="false">SUM(C5:C14)</f>
        <v>1000</v>
      </c>
      <c r="D16" s="23" t="n">
        <f aca="false">SUM(D5:D14)</f>
        <v>450</v>
      </c>
      <c r="E16" s="23" t="n">
        <f aca="false">SUM(E5:E14)</f>
        <v>18</v>
      </c>
      <c r="F16" s="22" t="n">
        <f aca="false">SUM(F5:F14)</f>
        <v>5382</v>
      </c>
      <c r="G16" s="24" t="n">
        <f aca="false">IF(C16=0,"-",F16/C16)</f>
        <v>5.382</v>
      </c>
      <c r="H16" s="25" t="n">
        <f aca="false">SUM(H5:H14)</f>
        <v>2181.95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30"/>
  </cols>
  <sheetData>
    <row r="1" customFormat="false" ht="36" hidden="false" customHeight="true" outlineLevel="0" collapsed="false">
      <c r="A1" s="2" t="s">
        <v>61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62</v>
      </c>
      <c r="B2" s="3"/>
      <c r="C2" s="3"/>
      <c r="D2" s="3"/>
      <c r="E2" s="3"/>
      <c r="F2" s="3"/>
    </row>
    <row r="4" customFormat="false" ht="21.75" hidden="false" customHeight="true" outlineLevel="0" collapsed="false">
      <c r="B4" s="4" t="s">
        <v>63</v>
      </c>
      <c r="C4" s="4"/>
      <c r="D4" s="4"/>
      <c r="E4" s="4"/>
      <c r="F4" s="4"/>
    </row>
    <row r="5" customFormat="false" ht="19.5" hidden="false" customHeight="true" outlineLevel="0" collapsed="false">
      <c r="B5" s="26" t="s">
        <v>3</v>
      </c>
      <c r="C5" s="26" t="s">
        <v>4</v>
      </c>
      <c r="D5" s="26" t="s">
        <v>5</v>
      </c>
      <c r="E5" s="26" t="s">
        <v>6</v>
      </c>
      <c r="F5" s="26"/>
    </row>
    <row r="6" customFormat="false" ht="19.5" hidden="false" customHeight="true" outlineLevel="0" collapsed="false">
      <c r="B6" s="6" t="s">
        <v>64</v>
      </c>
      <c r="C6" s="17" t="n">
        <v>10000</v>
      </c>
    </row>
    <row r="7" customFormat="false" ht="19.5" hidden="false" customHeight="true" outlineLevel="0" collapsed="false">
      <c r="B7" s="6" t="s">
        <v>65</v>
      </c>
      <c r="C7" s="11" t="n">
        <v>0.04</v>
      </c>
    </row>
    <row r="8" customFormat="false" ht="19.5" hidden="false" customHeight="true" outlineLevel="0" collapsed="false">
      <c r="B8" s="6" t="s">
        <v>66</v>
      </c>
      <c r="C8" s="7" t="n">
        <v>1.2</v>
      </c>
    </row>
    <row r="10" customFormat="false" ht="21.75" hidden="false" customHeight="true" outlineLevel="0" collapsed="false">
      <c r="B10" s="4" t="s">
        <v>67</v>
      </c>
      <c r="C10" s="4"/>
      <c r="D10" s="4"/>
      <c r="E10" s="4"/>
      <c r="F10" s="4"/>
    </row>
    <row r="11" customFormat="false" ht="19.5" hidden="false" customHeight="true" outlineLevel="0" collapsed="false">
      <c r="B11" s="26" t="s">
        <v>68</v>
      </c>
      <c r="C11" s="26" t="s">
        <v>69</v>
      </c>
      <c r="D11" s="27" t="s">
        <v>70</v>
      </c>
      <c r="E11" s="27"/>
      <c r="F11" s="27"/>
    </row>
    <row r="12" customFormat="false" ht="19.5" hidden="false" customHeight="true" outlineLevel="0" collapsed="false">
      <c r="B12" s="6" t="s">
        <v>71</v>
      </c>
      <c r="C12" s="28" t="n">
        <f aca="false">CEILING(C6/'📦 Ürün Kâr Analizi'!C19,1)</f>
        <v>57</v>
      </c>
      <c r="D12" s="29" t="s">
        <v>72</v>
      </c>
      <c r="E12" s="29"/>
      <c r="F12" s="29"/>
    </row>
    <row r="13" customFormat="false" ht="19.5" hidden="false" customHeight="true" outlineLevel="0" collapsed="false">
      <c r="B13" s="6" t="s">
        <v>73</v>
      </c>
      <c r="C13" s="28" t="n">
        <f aca="false">CEILING(C12/C7,1)</f>
        <v>1425</v>
      </c>
      <c r="D13" s="29" t="s">
        <v>74</v>
      </c>
      <c r="E13" s="29"/>
      <c r="F13" s="29"/>
    </row>
    <row r="14" customFormat="false" ht="19.5" hidden="false" customHeight="true" outlineLevel="0" collapsed="false">
      <c r="B14" s="6" t="s">
        <v>75</v>
      </c>
      <c r="C14" s="30" t="n">
        <f aca="false">C13*C8</f>
        <v>1710</v>
      </c>
      <c r="D14" s="29" t="s">
        <v>76</v>
      </c>
      <c r="E14" s="29"/>
      <c r="F14" s="29"/>
    </row>
    <row r="15" customFormat="false" ht="19.5" hidden="false" customHeight="true" outlineLevel="0" collapsed="false">
      <c r="B15" s="6" t="s">
        <v>77</v>
      </c>
      <c r="C15" s="15" t="n">
        <f aca="false">IF(C14=0,"-",(C12*'📦 Ürün Kâr Analizi'!C6)/C14)</f>
        <v>9.96666666666667</v>
      </c>
      <c r="D15" s="29" t="s">
        <v>78</v>
      </c>
      <c r="E15" s="29"/>
      <c r="F15" s="29"/>
    </row>
    <row r="16" customFormat="false" ht="19.5" hidden="false" customHeight="true" outlineLevel="0" collapsed="false">
      <c r="B16" s="6" t="s">
        <v>79</v>
      </c>
      <c r="C16" s="30" t="n">
        <f aca="false">IF(C12=0,"-",C14/C12)</f>
        <v>30</v>
      </c>
      <c r="D16" s="29" t="s">
        <v>80</v>
      </c>
      <c r="E16" s="29"/>
      <c r="F16" s="29"/>
    </row>
    <row r="17" customFormat="false" ht="19.5" hidden="false" customHeight="true" outlineLevel="0" collapsed="false">
      <c r="B17" s="6" t="s">
        <v>81</v>
      </c>
      <c r="C17" s="30" t="n">
        <f aca="false">C14/30</f>
        <v>57</v>
      </c>
      <c r="D17" s="29" t="s">
        <v>82</v>
      </c>
      <c r="E17" s="29"/>
      <c r="F17" s="29"/>
    </row>
  </sheetData>
  <mergeCells count="12">
    <mergeCell ref="A1:F1"/>
    <mergeCell ref="A2:F2"/>
    <mergeCell ref="B4:F4"/>
    <mergeCell ref="E5:F5"/>
    <mergeCell ref="B10:F10"/>
    <mergeCell ref="D11:F11"/>
    <mergeCell ref="D12:F12"/>
    <mergeCell ref="D13:F13"/>
    <mergeCell ref="D14:F14"/>
    <mergeCell ref="D15:F15"/>
    <mergeCell ref="D16:F16"/>
    <mergeCell ref="D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2026-04-29T08:31:06Z</dcterms:created>
  <dc:creator>openpyxl</dc:creator>
  <dc:description/>
  <dc:language>en-US</dc:language>
  <cp:lastModifiedBy/>
  <dcterms:modified xsi:type="dcterms:W3CDTF">2026-04-29T08:37:21Z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