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️ Varsayımlar" sheetId="1" state="visible" r:id="rId3"/>
    <sheet name="📊 LTV Hesapla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<sst xmlns="http://schemas.openxmlformats.org/spreadsheetml/2006/main" count="82" uniqueCount="77">
  <si>
    <t xml:space="preserve">MÜŞTERİ YAŞAM BOYU DEĞERİ (LTV) &amp; CAC ANALİZİ</t>
  </si>
  <si>
    <t xml:space="preserve">Dijital pazarlamacıların en önemli ama en az ölçtüğü metrik. LTV:CAC &gt; 3 = sağlıklı büyüme.</t>
  </si>
  <si>
    <t xml:space="preserve">💼  İŞ MODELİ VARSAYIMLARI</t>
  </si>
  <si>
    <t xml:space="preserve">Alan</t>
  </si>
  <si>
    <t xml:space="preserve">Değer</t>
  </si>
  <si>
    <t xml:space="preserve">Birim</t>
  </si>
  <si>
    <t xml:space="preserve">Açıklama</t>
  </si>
  <si>
    <t xml:space="preserve">Ortalama Sipariş Tutarı (AOV)</t>
  </si>
  <si>
    <t xml:space="preserve">TL</t>
  </si>
  <si>
    <t xml:space="preserve">Sepet ortalaması</t>
  </si>
  <si>
    <t xml:space="preserve">Brüt Kâr Marjı</t>
  </si>
  <si>
    <t xml:space="preserve">%</t>
  </si>
  <si>
    <t xml:space="preserve">Tüm değişken maliyetler düşüldükten sonra</t>
  </si>
  <si>
    <t xml:space="preserve">Aylık Tekrar Satın Alma Oranı</t>
  </si>
  <si>
    <t xml:space="preserve">Her ay tekrar satın alan müşteri oranı</t>
  </si>
  <si>
    <t xml:space="preserve">Ortalama Müşteri Ömrü</t>
  </si>
  <si>
    <t xml:space="preserve">Ay</t>
  </si>
  <si>
    <t xml:space="preserve">Müşteri kaçıncı ayda churn eder (ortalama)</t>
  </si>
  <si>
    <t xml:space="preserve">Müşteri Başı Aylık Destek Maliyeti</t>
  </si>
  <si>
    <t xml:space="preserve">CS, kargo sorunları, iadelerin payı</t>
  </si>
  <si>
    <t xml:space="preserve">İndirim Oranı (Yıllık)</t>
  </si>
  <si>
    <t xml:space="preserve">Paranın zaman değeri / fırsat maliyeti</t>
  </si>
  <si>
    <t xml:space="preserve">Aylık Yeni Müşteri Hedefi</t>
  </si>
  <si>
    <t xml:space="preserve">Kişi</t>
  </si>
  <si>
    <t xml:space="preserve">Bu ay kaç yeni müşteri edinmeyi hedefliyoruz</t>
  </si>
  <si>
    <t xml:space="preserve">📢  KANAL BAZLI CAC (MÜŞTERİ EDİNME MALİYETİ)</t>
  </si>
  <si>
    <t xml:space="preserve">Kanal</t>
  </si>
  <si>
    <t xml:space="preserve">Reklam Harcaması (₺)</t>
  </si>
  <si>
    <t xml:space="preserve">Yeni Müşteri Sayısı</t>
  </si>
  <si>
    <t xml:space="preserve">CAC (₺)</t>
  </si>
  <si>
    <t xml:space="preserve">LTV:CAC Oranı</t>
  </si>
  <si>
    <t xml:space="preserve">Meta Ads</t>
  </si>
  <si>
    <t xml:space="preserve">Google Ads (Arama)</t>
  </si>
  <si>
    <t xml:space="preserve">Google Ads (Diğer)</t>
  </si>
  <si>
    <t xml:space="preserve">TikTok Ads</t>
  </si>
  <si>
    <t xml:space="preserve">Organik / SEO</t>
  </si>
  <si>
    <t xml:space="preserve">Influencer</t>
  </si>
  <si>
    <t xml:space="preserve">E-posta / Referral</t>
  </si>
  <si>
    <t xml:space="preserve">MÜŞTERİ YAŞAM BOYU DEĞERİ — OTOMATİK HESAPLAMA</t>
  </si>
  <si>
    <t xml:space="preserve">Varsayımlar sayfasındaki değerlerden otomatik hesaplanır. Birden fazla LTV modeli içerir.</t>
  </si>
  <si>
    <t xml:space="preserve">📐  LTV MODELLERİ — KARŞILAŞTIRMALI</t>
  </si>
  <si>
    <t xml:space="preserve">Model</t>
  </si>
  <si>
    <t xml:space="preserve">LTV (₺)</t>
  </si>
  <si>
    <t xml:space="preserve">Model 1 — Basit LTV</t>
  </si>
  <si>
    <t xml:space="preserve">AOV × Kâr Marjı × Ortalama Ömür (ay)
En basit ve yaygın model. Genel bakış için.</t>
  </si>
  <si>
    <t xml:space="preserve">Model 2 — Tekrar Satın Alma Dahil</t>
  </si>
  <si>
    <t xml:space="preserve">Aylık tekrar alım oranı dahil — e-ticaret için daha gerçekçi</t>
  </si>
  <si>
    <t xml:space="preserve">Model 3 — Destek Maliyeti Düşülmüş</t>
  </si>
  <si>
    <t xml:space="preserve">Müşteri hizmetleri maliyeti düşülür — gerçek kâr bazlı LTV</t>
  </si>
  <si>
    <t xml:space="preserve">Model 4 — İndirimli (Gerçekçi) LTV</t>
  </si>
  <si>
    <t xml:space="preserve">Paranın zaman değerini hesaba katar. CFO raporları için.</t>
  </si>
  <si>
    <t xml:space="preserve">⭐  ÖNERİLEN LTV (Model 3 — Dengeli)</t>
  </si>
  <si>
    <t xml:space="preserve">Bu değeri CAC ile karşılaştır:
LTV:CAC &gt; 3 → Sağlıklı büyüme
LTV:CAC 1-3 → Dikkat et
LTV:CAC &lt; 1 → Sürdürülemez</t>
  </si>
  <si>
    <t xml:space="preserve">📅  MÜŞTERİ ÖMRÜ BOYUNCA KÜMÜLATIF LTV GELİŞİMİ</t>
  </si>
  <si>
    <t xml:space="preserve">Aylık Gelir (₺)</t>
  </si>
  <si>
    <t xml:space="preserve">Aylık Kâr (₺)</t>
  </si>
  <si>
    <t xml:space="preserve">Kümülatif Kâr (₺)</t>
  </si>
  <si>
    <t xml:space="preserve">CAC Kurtarıldı mı?</t>
  </si>
  <si>
    <t xml:space="preserve">Kalan Bütçe</t>
  </si>
  <si>
    <t xml:space="preserve">1. Ay</t>
  </si>
  <si>
    <t xml:space="preserve">2. Ay</t>
  </si>
  <si>
    <t xml:space="preserve">3. Ay</t>
  </si>
  <si>
    <t xml:space="preserve">4. Ay</t>
  </si>
  <si>
    <t xml:space="preserve">5. Ay</t>
  </si>
  <si>
    <t xml:space="preserve">6. Ay</t>
  </si>
  <si>
    <t xml:space="preserve">7. Ay</t>
  </si>
  <si>
    <t xml:space="preserve">8. Ay</t>
  </si>
  <si>
    <t xml:space="preserve">9. Ay</t>
  </si>
  <si>
    <t xml:space="preserve">10. Ay</t>
  </si>
  <si>
    <t xml:space="preserve">11. Ay</t>
  </si>
  <si>
    <t xml:space="preserve">12. Ay</t>
  </si>
  <si>
    <t xml:space="preserve">13. Ay</t>
  </si>
  <si>
    <t xml:space="preserve">14. Ay</t>
  </si>
  <si>
    <t xml:space="preserve">15. Ay</t>
  </si>
  <si>
    <t xml:space="preserve">16. Ay</t>
  </si>
  <si>
    <t xml:space="preserve">17. Ay</t>
  </si>
  <si>
    <t xml:space="preserve">18. Ay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</si>
</sst>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0.0\x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color rgb="FF495057"/>
      <name val="Arial"/>
      <family val="0"/>
      <charset val="1"/>
    </font>
    <font>
      <sz val="9"/>
      <color rgb="FF495057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1"/>
      <color rgb="FF15803D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20"/>
      <color rgb="FFD97706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5803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D3557"/>
      </patternFill>
    </fill>
    <fill>
      <patternFill patternType="solid">
        <fgColor rgb="FF495057"/>
        <bgColor rgb="FF374151"/>
      </patternFill>
    </fill>
    <fill>
      <patternFill patternType="solid">
        <fgColor rgb="FF374151"/>
        <bgColor rgb="FF495057"/>
      </patternFill>
    </fill>
    <fill>
      <patternFill patternType="solid">
        <fgColor rgb="FFDBEAFE"/>
        <bgColor rgb="FFCCFFFF"/>
      </patternFill>
    </fill>
    <fill>
      <patternFill patternType="solid">
        <fgColor rgb="FFF5E6B8"/>
        <bgColor rgb="FFFFCC99"/>
      </patternFill>
    </fill>
    <fill>
      <patternFill patternType="solid">
        <fgColor rgb="FFF8F9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DBEAFE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B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495057"/>
      <rgbColor rgb="FFC9A84C"/>
      <rgbColor rgb="FF1D3557"/>
      <rgbColor rgb="FF339966"/>
      <rgbColor rgb="FF003300"/>
      <rgbColor rgb="FF1A1A2E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6"/>
    <col collapsed="false" customWidth="true" hidden="false" outlineLevel="0" max="6" min="6" style="0" width="3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B5" s="4" t="s">
        <v>3</v>
      </c>
      <c r="C5" s="5" t="s">
        <v>4</v>
      </c>
      <c r="D5" s="5" t="s">
        <v>5</v>
      </c>
      <c r="E5" s="5" t="s">
        <v>6</v>
      </c>
      <c r="F5" s="5"/>
    </row>
    <row r="6" customFormat="false" ht="21.75" hidden="false" customHeight="true" outlineLevel="0" collapsed="false">
      <c r="B6" s="6" t="s">
        <v>7</v>
      </c>
      <c r="C6" s="7" t="n">
        <v>350</v>
      </c>
      <c r="D6" s="8" t="s">
        <v>8</v>
      </c>
      <c r="E6" s="9" t="s">
        <v>9</v>
      </c>
      <c r="F6" s="9"/>
    </row>
    <row r="7" customFormat="false" ht="21.75" hidden="false" customHeight="true" outlineLevel="0" collapsed="false">
      <c r="B7" s="6" t="s">
        <v>10</v>
      </c>
      <c r="C7" s="10" t="n">
        <v>0.42</v>
      </c>
      <c r="D7" s="8" t="s">
        <v>11</v>
      </c>
      <c r="E7" s="9" t="s">
        <v>12</v>
      </c>
      <c r="F7" s="9"/>
    </row>
    <row r="8" customFormat="false" ht="21.75" hidden="false" customHeight="true" outlineLevel="0" collapsed="false">
      <c r="B8" s="6" t="s">
        <v>13</v>
      </c>
      <c r="C8" s="10" t="n">
        <v>0.15</v>
      </c>
      <c r="D8" s="8" t="s">
        <v>11</v>
      </c>
      <c r="E8" s="9" t="s">
        <v>14</v>
      </c>
      <c r="F8" s="9"/>
    </row>
    <row r="9" customFormat="false" ht="21.75" hidden="false" customHeight="true" outlineLevel="0" collapsed="false">
      <c r="B9" s="6" t="s">
        <v>15</v>
      </c>
      <c r="C9" s="11" t="n">
        <v>18</v>
      </c>
      <c r="D9" s="8" t="s">
        <v>16</v>
      </c>
      <c r="E9" s="9" t="s">
        <v>17</v>
      </c>
      <c r="F9" s="9"/>
    </row>
    <row r="10" customFormat="false" ht="21.75" hidden="false" customHeight="true" outlineLevel="0" collapsed="false">
      <c r="B10" s="6" t="s">
        <v>18</v>
      </c>
      <c r="C10" s="7" t="n">
        <v>8</v>
      </c>
      <c r="D10" s="8" t="s">
        <v>8</v>
      </c>
      <c r="E10" s="9" t="s">
        <v>19</v>
      </c>
      <c r="F10" s="9"/>
    </row>
    <row r="11" customFormat="false" ht="21.75" hidden="false" customHeight="true" outlineLevel="0" collapsed="false">
      <c r="B11" s="6" t="s">
        <v>20</v>
      </c>
      <c r="C11" s="10" t="n">
        <v>0.1</v>
      </c>
      <c r="D11" s="8" t="s">
        <v>11</v>
      </c>
      <c r="E11" s="9" t="s">
        <v>21</v>
      </c>
      <c r="F11" s="9"/>
    </row>
    <row r="12" customFormat="false" ht="21.75" hidden="false" customHeight="true" outlineLevel="0" collapsed="false">
      <c r="B12" s="6" t="s">
        <v>22</v>
      </c>
      <c r="C12" s="11" t="n">
        <v>200</v>
      </c>
      <c r="D12" s="8" t="s">
        <v>23</v>
      </c>
      <c r="E12" s="9" t="s">
        <v>24</v>
      </c>
      <c r="F12" s="9"/>
    </row>
    <row r="14" customFormat="false" ht="24" hidden="false" customHeight="true" outlineLevel="0" collapsed="false">
      <c r="A14" s="3" t="s">
        <v>25</v>
      </c>
      <c r="B14" s="3"/>
      <c r="C14" s="3"/>
      <c r="D14" s="3"/>
      <c r="E14" s="3"/>
      <c r="F14" s="3"/>
    </row>
    <row r="15" customFormat="false" ht="21.75" hidden="false" customHeight="true" outlineLevel="0" collapsed="false">
      <c r="B15" s="4" t="s">
        <v>26</v>
      </c>
      <c r="C15" s="5" t="s">
        <v>27</v>
      </c>
      <c r="D15" s="5" t="s">
        <v>28</v>
      </c>
      <c r="E15" s="5" t="s">
        <v>29</v>
      </c>
      <c r="F15" s="5" t="s">
        <v>30</v>
      </c>
    </row>
    <row r="16" customFormat="false" ht="24" hidden="false" customHeight="true" outlineLevel="0" collapsed="false">
      <c r="B16" s="12" t="s">
        <v>31</v>
      </c>
      <c r="C16" s="11" t="n">
        <v>15000</v>
      </c>
      <c r="D16" s="11" t="n">
        <v>120</v>
      </c>
      <c r="E16" s="13" t="n">
        <f aca="false">IF(D16=0,"-",C16/D16)</f>
        <v>125</v>
      </c>
      <c r="F16" s="14" t="n">
        <f aca="false">IF(E16=0,"-",'📊 LTV Hesaplama'!C4/E16)</f>
        <v>0</v>
      </c>
    </row>
    <row r="17" customFormat="false" ht="24" hidden="false" customHeight="true" outlineLevel="0" collapsed="false">
      <c r="B17" s="12" t="s">
        <v>32</v>
      </c>
      <c r="C17" s="11" t="n">
        <v>12000</v>
      </c>
      <c r="D17" s="11" t="n">
        <v>95</v>
      </c>
      <c r="E17" s="13" t="n">
        <f aca="false">IF(D17=0,"-",C17/D17)</f>
        <v>126.315789473684</v>
      </c>
      <c r="F17" s="14" t="n">
        <f aca="false">IF(E17=0,"-",'📊 LTV Hesaplama'!C4/E17)</f>
        <v>0</v>
      </c>
    </row>
    <row r="18" customFormat="false" ht="24" hidden="false" customHeight="true" outlineLevel="0" collapsed="false">
      <c r="B18" s="12" t="s">
        <v>33</v>
      </c>
      <c r="C18" s="11" t="n">
        <v>5000</v>
      </c>
      <c r="D18" s="11" t="n">
        <v>25</v>
      </c>
      <c r="E18" s="13" t="n">
        <f aca="false">IF(D18=0,"-",C18/D18)</f>
        <v>200</v>
      </c>
      <c r="F18" s="14" t="n">
        <f aca="false">IF(E18=0,"-",'📊 LTV Hesaplama'!C4/E18)</f>
        <v>0</v>
      </c>
    </row>
    <row r="19" customFormat="false" ht="24" hidden="false" customHeight="true" outlineLevel="0" collapsed="false">
      <c r="B19" s="12" t="s">
        <v>34</v>
      </c>
      <c r="C19" s="11" t="n">
        <v>5000</v>
      </c>
      <c r="D19" s="11" t="n">
        <v>40</v>
      </c>
      <c r="E19" s="13" t="n">
        <f aca="false">IF(D19=0,"-",C19/D19)</f>
        <v>125</v>
      </c>
      <c r="F19" s="14" t="n">
        <f aca="false">IF(E19=0,"-",'📊 LTV Hesaplama'!C4/E19)</f>
        <v>0</v>
      </c>
    </row>
    <row r="20" customFormat="false" ht="24" hidden="false" customHeight="true" outlineLevel="0" collapsed="false">
      <c r="B20" s="12" t="s">
        <v>35</v>
      </c>
      <c r="C20" s="11" t="n">
        <v>3000</v>
      </c>
      <c r="D20" s="11" t="n">
        <v>55</v>
      </c>
      <c r="E20" s="13" t="n">
        <f aca="false">IF(D20=0,"-",C20/D20)</f>
        <v>54.5454545454546</v>
      </c>
      <c r="F20" s="14" t="n">
        <f aca="false">IF(E20=0,"-",'📊 LTV Hesaplama'!C4/E20)</f>
        <v>0</v>
      </c>
    </row>
    <row r="21" customFormat="false" ht="24" hidden="false" customHeight="true" outlineLevel="0" collapsed="false">
      <c r="B21" s="12" t="s">
        <v>36</v>
      </c>
      <c r="C21" s="11" t="n">
        <v>6000</v>
      </c>
      <c r="D21" s="11" t="n">
        <v>38</v>
      </c>
      <c r="E21" s="13" t="n">
        <f aca="false">IF(D21=0,"-",C21/D21)</f>
        <v>157.894736842105</v>
      </c>
      <c r="F21" s="14" t="n">
        <f aca="false">IF(E21=0,"-",'📊 LTV Hesaplama'!C4/E21)</f>
        <v>0</v>
      </c>
    </row>
    <row r="22" customFormat="false" ht="24" hidden="false" customHeight="true" outlineLevel="0" collapsed="false">
      <c r="B22" s="12" t="s">
        <v>37</v>
      </c>
      <c r="C22" s="11" t="n">
        <v>2000</v>
      </c>
      <c r="D22" s="11" t="n">
        <v>70</v>
      </c>
      <c r="E22" s="13" t="n">
        <f aca="false">IF(D22=0,"-",C22/D22)</f>
        <v>28.5714285714286</v>
      </c>
      <c r="F22" s="14" t="n">
        <f aca="false">IF(E22=0,"-",'📊 LTV Hesaplama'!C4/E22)</f>
        <v>0</v>
      </c>
    </row>
  </sheetData>
  <mergeCells count="12">
    <mergeCell ref="A1:F1"/>
    <mergeCell ref="A2:F2"/>
    <mergeCell ref="A4:F4"/>
    <mergeCell ref="E5:F5"/>
    <mergeCell ref="E6:F6"/>
    <mergeCell ref="E7:F7"/>
    <mergeCell ref="E8:F8"/>
    <mergeCell ref="E9:F9"/>
    <mergeCell ref="E10:F10"/>
    <mergeCell ref="E11:F11"/>
    <mergeCell ref="E12:F12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7" min="3" style="0" width="16"/>
  </cols>
  <sheetData>
    <row r="1" customFormat="false" ht="36" hidden="false" customHeight="tru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40</v>
      </c>
      <c r="B4" s="3"/>
      <c r="C4" s="3"/>
      <c r="D4" s="3"/>
      <c r="E4" s="3"/>
      <c r="F4" s="3"/>
      <c r="G4" s="3"/>
    </row>
    <row r="6" customFormat="false" ht="21.75" hidden="false" customHeight="true" outlineLevel="0" collapsed="false">
      <c r="B6" s="4" t="s">
        <v>41</v>
      </c>
      <c r="C6" s="5" t="s">
        <v>42</v>
      </c>
      <c r="D6" s="15" t="s">
        <v>6</v>
      </c>
      <c r="E6" s="15"/>
      <c r="F6" s="15"/>
      <c r="G6" s="15"/>
    </row>
    <row r="7" customFormat="false" ht="51.75" hidden="false" customHeight="true" outlineLevel="0" collapsed="false">
      <c r="B7" s="12" t="s">
        <v>43</v>
      </c>
      <c r="C7" s="16" t="n">
        <f aca="false">'⚙️ Varsayımlar'!C6*'⚙️ Varsayımlar'!C7*'⚙️ Varsayımlar'!C9</f>
        <v>2646</v>
      </c>
      <c r="D7" s="17" t="s">
        <v>44</v>
      </c>
      <c r="E7" s="17"/>
      <c r="F7" s="17"/>
      <c r="G7" s="17"/>
    </row>
    <row r="8" customFormat="false" ht="51.75" hidden="false" customHeight="true" outlineLevel="0" collapsed="false">
      <c r="B8" s="12" t="s">
        <v>45</v>
      </c>
      <c r="C8" s="16" t="n">
        <f aca="false">'⚙️ Varsayımlar'!C6*'⚙️ Varsayımlar'!C7*(1+(('⚙️ Varsayımlar'!C8-0)*'⚙️ Varsayımlar'!C9))</f>
        <v>543.9</v>
      </c>
      <c r="D8" s="17" t="s">
        <v>46</v>
      </c>
      <c r="E8" s="17"/>
      <c r="F8" s="17"/>
      <c r="G8" s="17"/>
    </row>
    <row r="9" customFormat="false" ht="51.75" hidden="false" customHeight="true" outlineLevel="0" collapsed="false">
      <c r="B9" s="12" t="s">
        <v>47</v>
      </c>
      <c r="C9" s="16" t="n">
        <f aca="false">('⚙️ Varsayımlar'!C6*'⚙️ Varsayımlar'!C7-'⚙️ Varsayımlar'!C10)*'⚙️ Varsayımlar'!C9</f>
        <v>2502</v>
      </c>
      <c r="D9" s="17" t="s">
        <v>48</v>
      </c>
      <c r="E9" s="17"/>
      <c r="F9" s="17"/>
      <c r="G9" s="17"/>
    </row>
    <row r="10" customFormat="false" ht="51.75" hidden="false" customHeight="true" outlineLevel="0" collapsed="false">
      <c r="B10" s="12" t="s">
        <v>49</v>
      </c>
      <c r="C10" s="13" t="n">
        <f aca="false">('⚙️ Varsayımlar'!C6*'⚙️ Varsayımlar'!C7-'⚙️ Varsayımlar'!C10)*(1-POWER(1+'⚙️ Varsayımlar'!C11/12,-'⚙️ Varsayımlar'!C9))/('⚙️ Varsayımlar'!C11/12)</f>
        <v>2314.46483869423</v>
      </c>
      <c r="D10" s="17" t="s">
        <v>50</v>
      </c>
      <c r="E10" s="17"/>
      <c r="F10" s="17"/>
      <c r="G10" s="17"/>
    </row>
    <row r="12" customFormat="false" ht="27.75" hidden="false" customHeight="true" outlineLevel="0" collapsed="false">
      <c r="A12" s="18" t="s">
        <v>51</v>
      </c>
      <c r="B12" s="18"/>
      <c r="C12" s="18"/>
      <c r="D12" s="18"/>
      <c r="E12" s="18"/>
      <c r="F12" s="18"/>
      <c r="G12" s="18"/>
    </row>
    <row r="13" customFormat="false" ht="36" hidden="false" customHeight="true" outlineLevel="0" collapsed="false">
      <c r="B13" s="19" t="n">
        <f aca="false">('⚙️ Varsayımlar'!C6*'⚙️ Varsayımlar'!C7-'⚙️ Varsayımlar'!C10)*'⚙️ Varsayımlar'!C9</f>
        <v>2502</v>
      </c>
      <c r="C13" s="19"/>
      <c r="D13" s="17" t="s">
        <v>52</v>
      </c>
      <c r="E13" s="17"/>
      <c r="F13" s="17"/>
      <c r="G13" s="17"/>
    </row>
    <row r="16" customFormat="false" ht="24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</row>
    <row r="17" customFormat="false" ht="19.5" hidden="false" customHeight="true" outlineLevel="0" collapsed="false">
      <c r="B17" s="5" t="s">
        <v>16</v>
      </c>
      <c r="C17" s="5" t="s">
        <v>54</v>
      </c>
      <c r="D17" s="5" t="s">
        <v>55</v>
      </c>
      <c r="E17" s="5" t="s">
        <v>56</v>
      </c>
      <c r="F17" s="5" t="s">
        <v>57</v>
      </c>
      <c r="G17" s="5" t="s">
        <v>58</v>
      </c>
    </row>
    <row r="18" customFormat="false" ht="21.75" hidden="false" customHeight="true" outlineLevel="0" collapsed="false">
      <c r="B18" s="8" t="s">
        <v>59</v>
      </c>
      <c r="C18" s="20" t="n">
        <f aca="false">'⚙️ Varsayımlar'!C6*(1+('⚙️ Varsayımlar'!C8*0))</f>
        <v>350</v>
      </c>
      <c r="D18" s="20" t="n">
        <f aca="false">C18*'⚙️ Varsayımlar'!C7-'⚙️ Varsayımlar'!C10</f>
        <v>139</v>
      </c>
      <c r="E18" s="21" t="n">
        <f aca="false">D18</f>
        <v>139</v>
      </c>
      <c r="F18" s="22" t="str">
        <f aca="false">IF(E18&gt;=100,"✅ CAC Kurtarıldı","⏳ Devam ediyor")</f>
        <v>✅ CAC Kurtarıldı</v>
      </c>
      <c r="G18" s="20" t="n">
        <f aca="false">MAX(0,100-E18)</f>
        <v>0</v>
      </c>
    </row>
    <row r="19" customFormat="false" ht="21.75" hidden="false" customHeight="true" outlineLevel="0" collapsed="false">
      <c r="B19" s="8" t="s">
        <v>60</v>
      </c>
      <c r="C19" s="20" t="n">
        <f aca="false">'⚙️ Varsayımlar'!C6*(1+('⚙️ Varsayımlar'!C8*1))</f>
        <v>402.5</v>
      </c>
      <c r="D19" s="20" t="n">
        <f aca="false">C19*'⚙️ Varsayımlar'!C7-'⚙️ Varsayımlar'!C10</f>
        <v>161.05</v>
      </c>
      <c r="E19" s="21" t="n">
        <f aca="false">E18+D19</f>
        <v>300.05</v>
      </c>
      <c r="F19" s="22" t="str">
        <f aca="false">IF(E19&gt;=100,"✅ CAC Kurtarıldı","⏳ Devam ediyor")</f>
        <v>✅ CAC Kurtarıldı</v>
      </c>
      <c r="G19" s="20" t="n">
        <f aca="false">MAX(0,100-E19)</f>
        <v>0</v>
      </c>
    </row>
    <row r="20" customFormat="false" ht="21.75" hidden="false" customHeight="true" outlineLevel="0" collapsed="false">
      <c r="B20" s="8" t="s">
        <v>61</v>
      </c>
      <c r="C20" s="20" t="n">
        <f aca="false">'⚙️ Varsayımlar'!C6*(1+('⚙️ Varsayımlar'!C8*2))</f>
        <v>455</v>
      </c>
      <c r="D20" s="20" t="n">
        <f aca="false">C20*'⚙️ Varsayımlar'!C7-'⚙️ Varsayımlar'!C10</f>
        <v>183.1</v>
      </c>
      <c r="E20" s="21" t="n">
        <f aca="false">E19+D20</f>
        <v>483.15</v>
      </c>
      <c r="F20" s="22" t="str">
        <f aca="false">IF(E20&gt;=100,"✅ CAC Kurtarıldı","⏳ Devam ediyor")</f>
        <v>✅ CAC Kurtarıldı</v>
      </c>
      <c r="G20" s="20" t="n">
        <f aca="false">MAX(0,100-E20)</f>
        <v>0</v>
      </c>
    </row>
    <row r="21" customFormat="false" ht="21.75" hidden="false" customHeight="true" outlineLevel="0" collapsed="false">
      <c r="B21" s="8" t="s">
        <v>62</v>
      </c>
      <c r="C21" s="20" t="n">
        <f aca="false">'⚙️ Varsayımlar'!C6*(1+('⚙️ Varsayımlar'!C8*3))</f>
        <v>507.5</v>
      </c>
      <c r="D21" s="20" t="n">
        <f aca="false">C21*'⚙️ Varsayımlar'!C7-'⚙️ Varsayımlar'!C10</f>
        <v>205.15</v>
      </c>
      <c r="E21" s="21" t="n">
        <f aca="false">E20+D21</f>
        <v>688.3</v>
      </c>
      <c r="F21" s="22" t="str">
        <f aca="false">IF(E21&gt;=100,"✅ CAC Kurtarıldı","⏳ Devam ediyor")</f>
        <v>✅ CAC Kurtarıldı</v>
      </c>
      <c r="G21" s="20" t="n">
        <f aca="false">MAX(0,100-E21)</f>
        <v>0</v>
      </c>
    </row>
    <row r="22" customFormat="false" ht="21.75" hidden="false" customHeight="true" outlineLevel="0" collapsed="false">
      <c r="B22" s="8" t="s">
        <v>63</v>
      </c>
      <c r="C22" s="20" t="n">
        <f aca="false">'⚙️ Varsayımlar'!C6*(1+('⚙️ Varsayımlar'!C8*4))</f>
        <v>560</v>
      </c>
      <c r="D22" s="20" t="n">
        <f aca="false">C22*'⚙️ Varsayımlar'!C7-'⚙️ Varsayımlar'!C10</f>
        <v>227.2</v>
      </c>
      <c r="E22" s="21" t="n">
        <f aca="false">E21+D22</f>
        <v>915.5</v>
      </c>
      <c r="F22" s="22" t="str">
        <f aca="false">IF(E22&gt;=100,"✅ CAC Kurtarıldı","⏳ Devam ediyor")</f>
        <v>✅ CAC Kurtarıldı</v>
      </c>
      <c r="G22" s="20" t="n">
        <f aca="false">MAX(0,100-E22)</f>
        <v>0</v>
      </c>
    </row>
    <row r="23" customFormat="false" ht="21.75" hidden="false" customHeight="true" outlineLevel="0" collapsed="false">
      <c r="B23" s="8" t="s">
        <v>64</v>
      </c>
      <c r="C23" s="20" t="n">
        <f aca="false">'⚙️ Varsayımlar'!C6*(1+('⚙️ Varsayımlar'!C8*5))</f>
        <v>612.5</v>
      </c>
      <c r="D23" s="20" t="n">
        <f aca="false">C23*'⚙️ Varsayımlar'!C7-'⚙️ Varsayımlar'!C10</f>
        <v>249.25</v>
      </c>
      <c r="E23" s="21" t="n">
        <f aca="false">E22+D23</f>
        <v>1164.75</v>
      </c>
      <c r="F23" s="22" t="str">
        <f aca="false">IF(E23&gt;=100,"✅ CAC Kurtarıldı","⏳ Devam ediyor")</f>
        <v>✅ CAC Kurtarıldı</v>
      </c>
      <c r="G23" s="20" t="n">
        <f aca="false">MAX(0,100-E23)</f>
        <v>0</v>
      </c>
    </row>
    <row r="24" customFormat="false" ht="21.75" hidden="false" customHeight="true" outlineLevel="0" collapsed="false">
      <c r="B24" s="8" t="s">
        <v>65</v>
      </c>
      <c r="C24" s="20" t="n">
        <f aca="false">'⚙️ Varsayımlar'!C6*(1+('⚙️ Varsayımlar'!C8*6))</f>
        <v>665</v>
      </c>
      <c r="D24" s="20" t="n">
        <f aca="false">C24*'⚙️ Varsayımlar'!C7-'⚙️ Varsayımlar'!C10</f>
        <v>271.3</v>
      </c>
      <c r="E24" s="21" t="n">
        <f aca="false">E23+D24</f>
        <v>1436.05</v>
      </c>
      <c r="F24" s="22" t="str">
        <f aca="false">IF(E24&gt;=100,"✅ CAC Kurtarıldı","⏳ Devam ediyor")</f>
        <v>✅ CAC Kurtarıldı</v>
      </c>
      <c r="G24" s="20" t="n">
        <f aca="false">MAX(0,100-E24)</f>
        <v>0</v>
      </c>
    </row>
    <row r="25" customFormat="false" ht="21.75" hidden="false" customHeight="true" outlineLevel="0" collapsed="false">
      <c r="B25" s="8" t="s">
        <v>66</v>
      </c>
      <c r="C25" s="20" t="n">
        <f aca="false">'⚙️ Varsayımlar'!C6*(1+('⚙️ Varsayımlar'!C8*7))</f>
        <v>717.5</v>
      </c>
      <c r="D25" s="20" t="n">
        <f aca="false">C25*'⚙️ Varsayımlar'!C7-'⚙️ Varsayımlar'!C10</f>
        <v>293.35</v>
      </c>
      <c r="E25" s="21" t="n">
        <f aca="false">E24+D25</f>
        <v>1729.4</v>
      </c>
      <c r="F25" s="22" t="str">
        <f aca="false">IF(E25&gt;=100,"✅ CAC Kurtarıldı","⏳ Devam ediyor")</f>
        <v>✅ CAC Kurtarıldı</v>
      </c>
      <c r="G25" s="20" t="n">
        <f aca="false">MAX(0,100-E25)</f>
        <v>0</v>
      </c>
    </row>
    <row r="26" customFormat="false" ht="21.75" hidden="false" customHeight="true" outlineLevel="0" collapsed="false">
      <c r="B26" s="8" t="s">
        <v>67</v>
      </c>
      <c r="C26" s="20" t="n">
        <f aca="false">'⚙️ Varsayımlar'!C6*(1+('⚙️ Varsayımlar'!C8*8))</f>
        <v>770</v>
      </c>
      <c r="D26" s="20" t="n">
        <f aca="false">C26*'⚙️ Varsayımlar'!C7-'⚙️ Varsayımlar'!C10</f>
        <v>315.4</v>
      </c>
      <c r="E26" s="21" t="n">
        <f aca="false">E25+D26</f>
        <v>2044.8</v>
      </c>
      <c r="F26" s="22" t="str">
        <f aca="false">IF(E26&gt;=100,"✅ CAC Kurtarıldı","⏳ Devam ediyor")</f>
        <v>✅ CAC Kurtarıldı</v>
      </c>
      <c r="G26" s="20" t="n">
        <f aca="false">MAX(0,100-E26)</f>
        <v>0</v>
      </c>
    </row>
    <row r="27" customFormat="false" ht="21.75" hidden="false" customHeight="true" outlineLevel="0" collapsed="false">
      <c r="B27" s="8" t="s">
        <v>68</v>
      </c>
      <c r="C27" s="20" t="n">
        <f aca="false">'⚙️ Varsayımlar'!C6*(1+('⚙️ Varsayımlar'!C8*9))</f>
        <v>822.5</v>
      </c>
      <c r="D27" s="20" t="n">
        <f aca="false">C27*'⚙️ Varsayımlar'!C7-'⚙️ Varsayımlar'!C10</f>
        <v>337.45</v>
      </c>
      <c r="E27" s="21" t="n">
        <f aca="false">E26+D27</f>
        <v>2382.25</v>
      </c>
      <c r="F27" s="22" t="str">
        <f aca="false">IF(E27&gt;=100,"✅ CAC Kurtarıldı","⏳ Devam ediyor")</f>
        <v>✅ CAC Kurtarıldı</v>
      </c>
      <c r="G27" s="20" t="n">
        <f aca="false">MAX(0,100-E27)</f>
        <v>0</v>
      </c>
    </row>
    <row r="28" customFormat="false" ht="21.75" hidden="false" customHeight="true" outlineLevel="0" collapsed="false">
      <c r="B28" s="8" t="s">
        <v>69</v>
      </c>
      <c r="C28" s="20" t="n">
        <f aca="false">'⚙️ Varsayımlar'!C6*(1+('⚙️ Varsayımlar'!C8*10))</f>
        <v>875</v>
      </c>
      <c r="D28" s="20" t="n">
        <f aca="false">C28*'⚙️ Varsayımlar'!C7-'⚙️ Varsayımlar'!C10</f>
        <v>359.5</v>
      </c>
      <c r="E28" s="21" t="n">
        <f aca="false">E27+D28</f>
        <v>2741.75</v>
      </c>
      <c r="F28" s="22" t="str">
        <f aca="false">IF(E28&gt;=100,"✅ CAC Kurtarıldı","⏳ Devam ediyor")</f>
        <v>✅ CAC Kurtarıldı</v>
      </c>
      <c r="G28" s="20" t="n">
        <f aca="false">MAX(0,100-E28)</f>
        <v>0</v>
      </c>
    </row>
    <row r="29" customFormat="false" ht="21.75" hidden="false" customHeight="true" outlineLevel="0" collapsed="false">
      <c r="B29" s="8" t="s">
        <v>70</v>
      </c>
      <c r="C29" s="20" t="n">
        <f aca="false">'⚙️ Varsayımlar'!C6*(1+('⚙️ Varsayımlar'!C8*11))</f>
        <v>927.5</v>
      </c>
      <c r="D29" s="20" t="n">
        <f aca="false">C29*'⚙️ Varsayımlar'!C7-'⚙️ Varsayımlar'!C10</f>
        <v>381.55</v>
      </c>
      <c r="E29" s="21" t="n">
        <f aca="false">E28+D29</f>
        <v>3123.3</v>
      </c>
      <c r="F29" s="22" t="str">
        <f aca="false">IF(E29&gt;=100,"✅ CAC Kurtarıldı","⏳ Devam ediyor")</f>
        <v>✅ CAC Kurtarıldı</v>
      </c>
      <c r="G29" s="20" t="n">
        <f aca="false">MAX(0,100-E29)</f>
        <v>0</v>
      </c>
    </row>
    <row r="30" customFormat="false" ht="21.75" hidden="false" customHeight="true" outlineLevel="0" collapsed="false">
      <c r="B30" s="8" t="s">
        <v>71</v>
      </c>
      <c r="C30" s="20" t="n">
        <f aca="false">'⚙️ Varsayımlar'!C6*(1+('⚙️ Varsayımlar'!C8*12))</f>
        <v>980</v>
      </c>
      <c r="D30" s="20" t="n">
        <f aca="false">C30*'⚙️ Varsayımlar'!C7-'⚙️ Varsayımlar'!C10</f>
        <v>403.6</v>
      </c>
      <c r="E30" s="21" t="n">
        <f aca="false">E29+D30</f>
        <v>3526.9</v>
      </c>
      <c r="F30" s="22" t="str">
        <f aca="false">IF(E30&gt;=100,"✅ CAC Kurtarıldı","⏳ Devam ediyor")</f>
        <v>✅ CAC Kurtarıldı</v>
      </c>
      <c r="G30" s="20" t="n">
        <f aca="false">MAX(0,100-E30)</f>
        <v>0</v>
      </c>
    </row>
    <row r="31" customFormat="false" ht="21.75" hidden="false" customHeight="true" outlineLevel="0" collapsed="false">
      <c r="B31" s="8" t="s">
        <v>72</v>
      </c>
      <c r="C31" s="20" t="n">
        <f aca="false">'⚙️ Varsayımlar'!C6*(1+('⚙️ Varsayımlar'!C8*13))</f>
        <v>1032.5</v>
      </c>
      <c r="D31" s="20" t="n">
        <f aca="false">C31*'⚙️ Varsayımlar'!C7-'⚙️ Varsayımlar'!C10</f>
        <v>425.65</v>
      </c>
      <c r="E31" s="21" t="n">
        <f aca="false">E30+D31</f>
        <v>3952.55</v>
      </c>
      <c r="F31" s="22" t="str">
        <f aca="false">IF(E31&gt;=100,"✅ CAC Kurtarıldı","⏳ Devam ediyor")</f>
        <v>✅ CAC Kurtarıldı</v>
      </c>
      <c r="G31" s="20" t="n">
        <f aca="false">MAX(0,100-E31)</f>
        <v>0</v>
      </c>
    </row>
    <row r="32" customFormat="false" ht="21.75" hidden="false" customHeight="true" outlineLevel="0" collapsed="false">
      <c r="B32" s="8" t="s">
        <v>73</v>
      </c>
      <c r="C32" s="20" t="n">
        <f aca="false">'⚙️ Varsayımlar'!C6*(1+('⚙️ Varsayımlar'!C8*14))</f>
        <v>1085</v>
      </c>
      <c r="D32" s="20" t="n">
        <f aca="false">C32*'⚙️ Varsayımlar'!C7-'⚙️ Varsayımlar'!C10</f>
        <v>447.7</v>
      </c>
      <c r="E32" s="21" t="n">
        <f aca="false">E31+D32</f>
        <v>4400.25</v>
      </c>
      <c r="F32" s="22" t="str">
        <f aca="false">IF(E32&gt;=100,"✅ CAC Kurtarıldı","⏳ Devam ediyor")</f>
        <v>✅ CAC Kurtarıldı</v>
      </c>
      <c r="G32" s="20" t="n">
        <f aca="false">MAX(0,100-E32)</f>
        <v>0</v>
      </c>
    </row>
    <row r="33" customFormat="false" ht="21.75" hidden="false" customHeight="true" outlineLevel="0" collapsed="false">
      <c r="B33" s="8" t="s">
        <v>74</v>
      </c>
      <c r="C33" s="20" t="n">
        <f aca="false">'⚙️ Varsayımlar'!C6*(1+('⚙️ Varsayımlar'!C8*15))</f>
        <v>1137.5</v>
      </c>
      <c r="D33" s="20" t="n">
        <f aca="false">C33*'⚙️ Varsayımlar'!C7-'⚙️ Varsayımlar'!C10</f>
        <v>469.75</v>
      </c>
      <c r="E33" s="21" t="n">
        <f aca="false">E32+D33</f>
        <v>4870</v>
      </c>
      <c r="F33" s="22" t="str">
        <f aca="false">IF(E33&gt;=100,"✅ CAC Kurtarıldı","⏳ Devam ediyor")</f>
        <v>✅ CAC Kurtarıldı</v>
      </c>
      <c r="G33" s="20" t="n">
        <f aca="false">MAX(0,100-E33)</f>
        <v>0</v>
      </c>
    </row>
    <row r="34" customFormat="false" ht="21.75" hidden="false" customHeight="true" outlineLevel="0" collapsed="false">
      <c r="B34" s="8" t="s">
        <v>75</v>
      </c>
      <c r="C34" s="20" t="n">
        <f aca="false">'⚙️ Varsayımlar'!C6*(1+('⚙️ Varsayımlar'!C8*16))</f>
        <v>1190</v>
      </c>
      <c r="D34" s="20" t="n">
        <f aca="false">C34*'⚙️ Varsayımlar'!C7-'⚙️ Varsayımlar'!C10</f>
        <v>491.8</v>
      </c>
      <c r="E34" s="21" t="n">
        <f aca="false">E33+D34</f>
        <v>5361.8</v>
      </c>
      <c r="F34" s="22" t="str">
        <f aca="false">IF(E34&gt;=100,"✅ CAC Kurtarıldı","⏳ Devam ediyor")</f>
        <v>✅ CAC Kurtarıldı</v>
      </c>
      <c r="G34" s="20" t="n">
        <f aca="false">MAX(0,100-E34)</f>
        <v>0</v>
      </c>
    </row>
    <row r="35" customFormat="false" ht="21.75" hidden="false" customHeight="true" outlineLevel="0" collapsed="false">
      <c r="B35" s="8" t="s">
        <v>76</v>
      </c>
      <c r="C35" s="20" t="n">
        <f aca="false">'⚙️ Varsayımlar'!C6*(1+('⚙️ Varsayımlar'!C8*17))</f>
        <v>1242.5</v>
      </c>
      <c r="D35" s="20" t="n">
        <f aca="false">C35*'⚙️ Varsayımlar'!C7-'⚙️ Varsayımlar'!C10</f>
        <v>513.85</v>
      </c>
      <c r="E35" s="21" t="n">
        <f aca="false">E34+D35</f>
        <v>5875.65</v>
      </c>
      <c r="F35" s="22" t="str">
        <f aca="false">IF(E35&gt;=100,"✅ CAC Kurtarıldı","⏳ Devam ediyor")</f>
        <v>✅ CAC Kurtarıldı</v>
      </c>
      <c r="G35" s="20" t="n">
        <f aca="false">MAX(0,100-E35)</f>
        <v>0</v>
      </c>
    </row>
  </sheetData>
  <mergeCells count="12">
    <mergeCell ref="A1:G1"/>
    <mergeCell ref="A2:G2"/>
    <mergeCell ref="A4:G4"/>
    <mergeCell ref="D6:G6"/>
    <mergeCell ref="D7:G7"/>
    <mergeCell ref="D8:G8"/>
    <mergeCell ref="D9:G9"/>
    <mergeCell ref="D10:G10"/>
    <mergeCell ref="A12:G12"/>
    <mergeCell ref="B13:C13"/>
    <mergeCell ref="D13:G13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2026-04-29T08:36:12Z</dcterms:created>
  <dc:creator>openpyxl</dc:creator>
  <dc:description/>
  <dc:language>en-US</dc:language>
  <cp:lastModifiedBy/>
  <dcterms:modified xsi:type="dcterms:W3CDTF">2026-04-29T08:36:12Z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