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🔍 Anahtar Kelime Analizi" sheetId="1" state="visible" r:id="rId3"/>
    <sheet name="🚫 Negatif Anahtar Kelime" sheetId="2" state="visible" r:id="rId4"/>
    <sheet name="🏆 Rakip Analiz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<sst xmlns="http://schemas.openxmlformats.org/spreadsheetml/2006/main" count="131" uniqueCount="102">
  <si>
    <t xml:space="preserve">GOOGLE ADS TEKLİF OPTİMİZASYON &amp; KALİTE SKORU ARACI</t>
  </si>
  <si>
    <t xml:space="preserve">Mavi = giriş  |  Her anahtar kelime için gerçek metriklerini gir — optimal teklif otomatik hesaplanır</t>
  </si>
  <si>
    <t xml:space="preserve">Anahtar Kelime</t>
  </si>
  <si>
    <t xml:space="preserve">Eşleme Türü</t>
  </si>
  <si>
    <t xml:space="preserve">Mevcut Teklif (₺)</t>
  </si>
  <si>
    <t xml:space="preserve">Kalite Skoru (1-10)</t>
  </si>
  <si>
    <t xml:space="preserve">CTR (%)</t>
  </si>
  <si>
    <t xml:space="preserve">CVR (%)</t>
  </si>
  <si>
    <t xml:space="preserve">Hedef CPA (₺)</t>
  </si>
  <si>
    <t xml:space="preserve">Ort. Sipariş Tutarı (₺)</t>
  </si>
  <si>
    <t xml:space="preserve">Önerilen Teklif (₺)</t>
  </si>
  <si>
    <t xml:space="preserve">Değişim (%)</t>
  </si>
  <si>
    <t xml:space="preserve">Durum &amp; Aksiyon</t>
  </si>
  <si>
    <t xml:space="preserve">dijital pazarlama ajansı</t>
  </si>
  <si>
    <t xml:space="preserve">Tam Eşleme</t>
  </si>
  <si>
    <t xml:space="preserve">meta ads yönetimi</t>
  </si>
  <si>
    <t xml:space="preserve">google ads danışmanlık</t>
  </si>
  <si>
    <t xml:space="preserve">Sıralı Eşleme</t>
  </si>
  <si>
    <t xml:space="preserve">sosyal medya reklamı</t>
  </si>
  <si>
    <t xml:space="preserve">Geniş</t>
  </si>
  <si>
    <t xml:space="preserve">facebook reklam fiyatları</t>
  </si>
  <si>
    <t xml:space="preserve">reklam ajansı istanbul</t>
  </si>
  <si>
    <t xml:space="preserve">instagram reklam verme</t>
  </si>
  <si>
    <t xml:space="preserve">e-ticaret reklam</t>
  </si>
  <si>
    <t xml:space="preserve">google reklam nasıl verilir</t>
  </si>
  <si>
    <t xml:space="preserve">tiktok reklam ajansı</t>
  </si>
  <si>
    <t xml:space="preserve">💡 KALİTE SKORU NASIL ARTTIRILIR?</t>
  </si>
  <si>
    <t xml:space="preserve">QS 1-3</t>
  </si>
  <si>
    <t xml:space="preserve">Reklam metni tamamen anahtar kelimeyle uyumsuz → Reklam grubunu yeniden yaz, her anahtar kelime için ayrı reklam oluştur</t>
  </si>
  <si>
    <t xml:space="preserve">QS 4-6</t>
  </si>
  <si>
    <t xml:space="preserve">Açılış sayfası uyumu zayıf → Sayfadaki başlık, meta açıklama ve içerikte anahtar kelimeyi öne çıkar</t>
  </si>
  <si>
    <t xml:space="preserve">QS 7-8</t>
  </si>
  <si>
    <t xml:space="preserve">CTR ortalamanın altında → A/B test ile güçlü kanca/başlık dene, sitelink uzantıları ekle</t>
  </si>
  <si>
    <t xml:space="preserve">QS 9-10</t>
  </si>
  <si>
    <t xml:space="preserve">Optimal durum → Impression Share kaybını kontrol et, bütçe kısıtı varsa artır</t>
  </si>
  <si>
    <t xml:space="preserve">NEGATİF ANAHTAR KELİME HAVUZU — BOŞA HARCAMA ENGELLEYİCİ</t>
  </si>
  <si>
    <t xml:space="preserve">Bu listeden hazır negatif kelimeleri al + kendi arama terimlerini analiz et.</t>
  </si>
  <si>
    <t xml:space="preserve">Arama Terimi / Negatif Kelime</t>
  </si>
  <si>
    <t xml:space="preserve">Kategori</t>
  </si>
  <si>
    <t xml:space="preserve">Görüntülenme</t>
  </si>
  <si>
    <t xml:space="preserve">Harcanan (₺)</t>
  </si>
  <si>
    <t xml:space="preserve">Neden Negatif?</t>
  </si>
  <si>
    <t xml:space="preserve">ücretsiz</t>
  </si>
  <si>
    <t xml:space="preserve">Fiyat Odaklı</t>
  </si>
  <si>
    <t xml:space="preserve">Ücretli hizmet satıyorsunuz, ücretsiz arayanlar dönüşmez</t>
  </si>
  <si>
    <t xml:space="preserve">bedava</t>
  </si>
  <si>
    <t xml:space="preserve">Satın alma niyeti yok</t>
  </si>
  <si>
    <t xml:space="preserve">nasıl yapılır</t>
  </si>
  <si>
    <t xml:space="preserve">Bilgi Arama</t>
  </si>
  <si>
    <t xml:space="preserve">Sıralı</t>
  </si>
  <si>
    <t xml:space="preserve">Öğrenmek isteyen, satın almak değil</t>
  </si>
  <si>
    <t xml:space="preserve">ne demek</t>
  </si>
  <si>
    <t xml:space="preserve">Tanım araması, ticari niyet yok</t>
  </si>
  <si>
    <t xml:space="preserve">vikipedi</t>
  </si>
  <si>
    <t xml:space="preserve">Tam</t>
  </si>
  <si>
    <t xml:space="preserve">Ansiklopedi araması</t>
  </si>
  <si>
    <t xml:space="preserve">iş ilanı</t>
  </si>
  <si>
    <t xml:space="preserve">İş Araması</t>
  </si>
  <si>
    <t xml:space="preserve">Müşteri değil, iş arayan</t>
  </si>
  <si>
    <t xml:space="preserve">staj</t>
  </si>
  <si>
    <t xml:space="preserve">Potansiyel müşteri değil</t>
  </si>
  <si>
    <t xml:space="preserve">örnek ödev</t>
  </si>
  <si>
    <t xml:space="preserve">Akademik</t>
  </si>
  <si>
    <t xml:space="preserve">Öğrenci, alıcı değil</t>
  </si>
  <si>
    <t xml:space="preserve">diy</t>
  </si>
  <si>
    <t xml:space="preserve">Kendin Yap</t>
  </si>
  <si>
    <t xml:space="preserve">Kendi yapacak, satın almayacak</t>
  </si>
  <si>
    <t xml:space="preserve">crack</t>
  </si>
  <si>
    <t xml:space="preserve">Korsan</t>
  </si>
  <si>
    <t xml:space="preserve">Yasadışı içerik araması</t>
  </si>
  <si>
    <t xml:space="preserve">torrent</t>
  </si>
  <si>
    <t xml:space="preserve">indir</t>
  </si>
  <si>
    <t xml:space="preserve">Dosya İndirme</t>
  </si>
  <si>
    <t xml:space="preserve">Yazılım indirme araması, alakasız</t>
  </si>
  <si>
    <t xml:space="preserve">youtube</t>
  </si>
  <si>
    <t xml:space="preserve">Platform</t>
  </si>
  <si>
    <t xml:space="preserve">Platform araması, sizin siteniz değil</t>
  </si>
  <si>
    <t xml:space="preserve">instagram</t>
  </si>
  <si>
    <t xml:space="preserve">Platform araması</t>
  </si>
  <si>
    <t xml:space="preserve">nedir</t>
  </si>
  <si>
    <t xml:space="preserve">Genel bilgi araması, ticari niyet düşük</t>
  </si>
  <si>
    <t xml:space="preserve">TOPLAM BOŞA HARCAMA (Örnek):</t>
  </si>
  <si>
    <t xml:space="preserve">Bu listeyi kampanyalarına ekle → hemen tasarruf et</t>
  </si>
  <si>
    <t xml:space="preserve">RAKİP REKLAM ANALİZİ — GOOGLE ADS AUCTION INSİGHTS</t>
  </si>
  <si>
    <t xml:space="preserve">Google Ads &gt; Raporlar &gt; Açık Artırma Analizi verilerini buraya gir</t>
  </si>
  <si>
    <t xml:space="preserve">Rakip</t>
  </si>
  <si>
    <t xml:space="preserve">Gösterim Payı</t>
  </si>
  <si>
    <t xml:space="preserve">Tepe Çıkma Oranı</t>
  </si>
  <si>
    <t xml:space="preserve">Sayfa Başı Oranı</t>
  </si>
  <si>
    <t xml:space="preserve">Üst Tepe Oranı</t>
  </si>
  <si>
    <t xml:space="preserve">Çakışma Oranı</t>
  </si>
  <si>
    <t xml:space="preserve">Strateji Notu</t>
  </si>
  <si>
    <t xml:space="preserve">Senin Şirketin (BEN)</t>
  </si>
  <si>
    <t xml:space="preserve">Referans satırı — kendi verilerini gir</t>
  </si>
  <si>
    <t xml:space="preserve">Rakip A</t>
  </si>
  <si>
    <t xml:space="preserve">Impression Share'de önde — bütçeni artırmayı değerlendir</t>
  </si>
  <si>
    <t xml:space="preserve">Rakip B</t>
  </si>
  <si>
    <t xml:space="preserve">Zayıf rakip — agresif teklif verilebilir</t>
  </si>
  <si>
    <t xml:space="preserve">Rakip C</t>
  </si>
  <si>
    <t xml:space="preserve">Dengeli rakip — kalite skoru ile geç</t>
  </si>
  <si>
    <t xml:space="preserve">Rakip D</t>
  </si>
  <si>
    <t xml:space="preserve">Düşük bütçeli rakip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</si>
</sst>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#,##0"/>
    <numFmt numFmtId="168" formatCode="\+0.0%;\-0.0%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D3557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1580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4950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sz val="9"/>
      <color rgb="FF495057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1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1D3557"/>
      </patternFill>
    </fill>
    <fill>
      <patternFill patternType="solid">
        <fgColor rgb="FF495057"/>
        <bgColor rgb="FF374151"/>
      </patternFill>
    </fill>
    <fill>
      <patternFill patternType="solid">
        <fgColor rgb="FF374151"/>
        <bgColor rgb="FF495057"/>
      </patternFill>
    </fill>
    <fill>
      <patternFill patternType="solid">
        <fgColor rgb="FFDBEAFE"/>
        <bgColor rgb="FFDCFCE7"/>
      </patternFill>
    </fill>
    <fill>
      <patternFill patternType="solid">
        <fgColor rgb="FFF5E6B8"/>
        <bgColor rgb="FFFEE2E2"/>
      </patternFill>
    </fill>
    <fill>
      <patternFill patternType="solid">
        <fgColor rgb="FFFEE2E2"/>
        <bgColor rgb="FFF5E6B8"/>
      </patternFill>
    </fill>
    <fill>
      <patternFill patternType="solid">
        <fgColor rgb="FFDCFCE7"/>
        <bgColor rgb="FFCCFFCC"/>
      </patternFill>
    </fill>
    <fill>
      <patternFill patternType="solid">
        <fgColor rgb="FFF8F9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DCFCE7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5E6B8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495057"/>
      <rgbColor rgb="FFC9A84C"/>
      <rgbColor rgb="FF1D3557"/>
      <rgbColor rgb="FF339966"/>
      <rgbColor rgb="FF003300"/>
      <rgbColor rgb="FF1A1A2E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7.7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customFormat="false" ht="25.5" hidden="false" customHeight="true" outlineLevel="0" collapsed="false">
      <c r="B5" s="4" t="s">
        <v>13</v>
      </c>
      <c r="C5" s="5" t="s">
        <v>14</v>
      </c>
      <c r="D5" s="6" t="n">
        <v>18.5</v>
      </c>
      <c r="E5" s="5" t="n">
        <v>7</v>
      </c>
      <c r="F5" s="7" t="n">
        <v>0.065</v>
      </c>
      <c r="G5" s="7" t="n">
        <v>0.045</v>
      </c>
      <c r="H5" s="8" t="n">
        <v>120</v>
      </c>
      <c r="I5" s="8" t="n">
        <v>350</v>
      </c>
      <c r="J5" s="9" t="n">
        <f aca="false">ROUND(H5*G5*(10/E5)*0.85,2)</f>
        <v>6.56</v>
      </c>
      <c r="K5" s="10" t="n">
        <f aca="false">IF(D5=0,"-",(J5-D5)/D5)</f>
        <v>-0.645405405405406</v>
      </c>
      <c r="L5" s="11" t="str">
        <f aca="false">IF(E5&gt;=8,"✅ Kalite Skoru İyi",IF(E5&gt;=5,"🟡 Geliştirilebilir","❌ Düşük QS — Reklam Metni Güncelle"))</f>
        <v>🟡 Geliştirilebilir</v>
      </c>
    </row>
    <row r="6" customFormat="false" ht="25.5" hidden="false" customHeight="true" outlineLevel="0" collapsed="false">
      <c r="B6" s="4" t="s">
        <v>15</v>
      </c>
      <c r="C6" s="5" t="s">
        <v>14</v>
      </c>
      <c r="D6" s="6" t="n">
        <v>22</v>
      </c>
      <c r="E6" s="5" t="n">
        <v>6</v>
      </c>
      <c r="F6" s="7" t="n">
        <v>0.055</v>
      </c>
      <c r="G6" s="7" t="n">
        <v>0.038</v>
      </c>
      <c r="H6" s="8" t="n">
        <v>130</v>
      </c>
      <c r="I6" s="8" t="n">
        <v>350</v>
      </c>
      <c r="J6" s="9" t="n">
        <f aca="false">ROUND(H6*G6*(10/E6)*0.85,2)</f>
        <v>7</v>
      </c>
      <c r="K6" s="10" t="n">
        <f aca="false">IF(D6=0,"-",(J6-D6)/D6)</f>
        <v>-0.681818181818182</v>
      </c>
      <c r="L6" s="11" t="str">
        <f aca="false">IF(E6&gt;=8,"✅ Kalite Skoru İyi",IF(E6&gt;=5,"🟡 Geliştirilebilir","❌ Düşük QS — Reklam Metni Güncelle"))</f>
        <v>🟡 Geliştirilebilir</v>
      </c>
    </row>
    <row r="7" customFormat="false" ht="25.5" hidden="false" customHeight="true" outlineLevel="0" collapsed="false">
      <c r="B7" s="4" t="s">
        <v>16</v>
      </c>
      <c r="C7" s="5" t="s">
        <v>17</v>
      </c>
      <c r="D7" s="6" t="n">
        <v>25</v>
      </c>
      <c r="E7" s="5" t="n">
        <v>5</v>
      </c>
      <c r="F7" s="7" t="n">
        <v>0.042</v>
      </c>
      <c r="G7" s="7" t="n">
        <v>0.032</v>
      </c>
      <c r="H7" s="8" t="n">
        <v>150</v>
      </c>
      <c r="I7" s="8" t="n">
        <v>350</v>
      </c>
      <c r="J7" s="9" t="n">
        <f aca="false">ROUND(H7*G7*(10/E7)*0.85,2)</f>
        <v>8.16</v>
      </c>
      <c r="K7" s="10" t="n">
        <f aca="false">IF(D7=0,"-",(J7-D7)/D7)</f>
        <v>-0.6736</v>
      </c>
      <c r="L7" s="11" t="str">
        <f aca="false">IF(E7&gt;=8,"✅ Kalite Skoru İyi",IF(E7&gt;=5,"🟡 Geliştirilebilir","❌ Düşük QS — Reklam Metni Güncelle"))</f>
        <v>🟡 Geliştirilebilir</v>
      </c>
    </row>
    <row r="8" customFormat="false" ht="25.5" hidden="false" customHeight="true" outlineLevel="0" collapsed="false">
      <c r="B8" s="4" t="s">
        <v>18</v>
      </c>
      <c r="C8" s="5" t="s">
        <v>19</v>
      </c>
      <c r="D8" s="6" t="n">
        <v>8.5</v>
      </c>
      <c r="E8" s="5" t="n">
        <v>4</v>
      </c>
      <c r="F8" s="7" t="n">
        <v>0.028</v>
      </c>
      <c r="G8" s="7" t="n">
        <v>0.018</v>
      </c>
      <c r="H8" s="8" t="n">
        <v>160</v>
      </c>
      <c r="I8" s="8" t="n">
        <v>350</v>
      </c>
      <c r="J8" s="9" t="n">
        <f aca="false">ROUND(H8*G8*(10/E8)*0.85,2)</f>
        <v>6.12</v>
      </c>
      <c r="K8" s="10" t="n">
        <f aca="false">IF(D8=0,"-",(J8-D8)/D8)</f>
        <v>-0.28</v>
      </c>
      <c r="L8" s="11" t="str">
        <f aca="false">IF(E8&gt;=8,"✅ Kalite Skoru İyi",IF(E8&gt;=5,"🟡 Geliştirilebilir","❌ Düşük QS — Reklam Metni Güncelle"))</f>
        <v>❌ Düşük QS — Reklam Metni Güncelle</v>
      </c>
    </row>
    <row r="9" customFormat="false" ht="25.5" hidden="false" customHeight="true" outlineLevel="0" collapsed="false">
      <c r="B9" s="4" t="s">
        <v>20</v>
      </c>
      <c r="C9" s="5" t="s">
        <v>17</v>
      </c>
      <c r="D9" s="6" t="n">
        <v>12</v>
      </c>
      <c r="E9" s="5" t="n">
        <v>8</v>
      </c>
      <c r="F9" s="7" t="n">
        <v>0.078</v>
      </c>
      <c r="G9" s="7" t="n">
        <v>0.055</v>
      </c>
      <c r="H9" s="8" t="n">
        <v>90</v>
      </c>
      <c r="I9" s="8" t="n">
        <v>350</v>
      </c>
      <c r="J9" s="9" t="n">
        <f aca="false">ROUND(H9*G9*(10/E9)*0.85,2)</f>
        <v>5.26</v>
      </c>
      <c r="K9" s="10" t="n">
        <f aca="false">IF(D9=0,"-",(J9-D9)/D9)</f>
        <v>-0.561666666666667</v>
      </c>
      <c r="L9" s="11" t="str">
        <f aca="false">IF(E9&gt;=8,"✅ Kalite Skoru İyi",IF(E9&gt;=5,"🟡 Geliştirilebilir","❌ Düşük QS — Reklam Metni Güncelle"))</f>
        <v>✅ Kalite Skoru İyi</v>
      </c>
    </row>
    <row r="10" customFormat="false" ht="25.5" hidden="false" customHeight="true" outlineLevel="0" collapsed="false">
      <c r="B10" s="4" t="s">
        <v>21</v>
      </c>
      <c r="C10" s="5" t="s">
        <v>19</v>
      </c>
      <c r="D10" s="6" t="n">
        <v>15</v>
      </c>
      <c r="E10" s="5" t="n">
        <v>6</v>
      </c>
      <c r="F10" s="7" t="n">
        <v>0.051</v>
      </c>
      <c r="G10" s="7" t="n">
        <v>0.04</v>
      </c>
      <c r="H10" s="8" t="n">
        <v>115</v>
      </c>
      <c r="I10" s="8" t="n">
        <v>350</v>
      </c>
      <c r="J10" s="9" t="n">
        <f aca="false">ROUND(H10*G10*(10/E10)*0.85,2)</f>
        <v>6.52</v>
      </c>
      <c r="K10" s="10" t="n">
        <f aca="false">IF(D10=0,"-",(J10-D10)/D10)</f>
        <v>-0.565333333333333</v>
      </c>
      <c r="L10" s="11" t="str">
        <f aca="false">IF(E10&gt;=8,"✅ Kalite Skoru İyi",IF(E10&gt;=5,"🟡 Geliştirilebilir","❌ Düşük QS — Reklam Metni Güncelle"))</f>
        <v>🟡 Geliştirilebilir</v>
      </c>
    </row>
    <row r="11" customFormat="false" ht="25.5" hidden="false" customHeight="true" outlineLevel="0" collapsed="false">
      <c r="B11" s="4" t="s">
        <v>22</v>
      </c>
      <c r="C11" s="5" t="s">
        <v>14</v>
      </c>
      <c r="D11" s="6" t="n">
        <v>14.5</v>
      </c>
      <c r="E11" s="5" t="n">
        <v>7</v>
      </c>
      <c r="F11" s="7" t="n">
        <v>0.068</v>
      </c>
      <c r="G11" s="7" t="n">
        <v>0.048</v>
      </c>
      <c r="H11" s="8" t="n">
        <v>105</v>
      </c>
      <c r="I11" s="8" t="n">
        <v>350</v>
      </c>
      <c r="J11" s="9" t="n">
        <f aca="false">ROUND(H11*G11*(10/E11)*0.85,2)</f>
        <v>6.12</v>
      </c>
      <c r="K11" s="10" t="n">
        <f aca="false">IF(D11=0,"-",(J11-D11)/D11)</f>
        <v>-0.577931034482759</v>
      </c>
      <c r="L11" s="11" t="str">
        <f aca="false">IF(E11&gt;=8,"✅ Kalite Skoru İyi",IF(E11&gt;=5,"🟡 Geliştirilebilir","❌ Düşük QS — Reklam Metni Güncelle"))</f>
        <v>🟡 Geliştirilebilir</v>
      </c>
    </row>
    <row r="12" customFormat="false" ht="25.5" hidden="false" customHeight="true" outlineLevel="0" collapsed="false">
      <c r="B12" s="4" t="s">
        <v>23</v>
      </c>
      <c r="C12" s="5" t="s">
        <v>19</v>
      </c>
      <c r="D12" s="6" t="n">
        <v>9</v>
      </c>
      <c r="E12" s="5" t="n">
        <v>3</v>
      </c>
      <c r="F12" s="7" t="n">
        <v>0.021</v>
      </c>
      <c r="G12" s="7" t="n">
        <v>0.015</v>
      </c>
      <c r="H12" s="8" t="n">
        <v>175</v>
      </c>
      <c r="I12" s="8" t="n">
        <v>350</v>
      </c>
      <c r="J12" s="9" t="n">
        <f aca="false">ROUND(H12*G12*(10/E12)*0.85,2)</f>
        <v>7.44</v>
      </c>
      <c r="K12" s="10" t="n">
        <f aca="false">IF(D12=0,"-",(J12-D12)/D12)</f>
        <v>-0.173333333333333</v>
      </c>
      <c r="L12" s="11" t="str">
        <f aca="false">IF(E12&gt;=8,"✅ Kalite Skoru İyi",IF(E12&gt;=5,"🟡 Geliştirilebilir","❌ Düşük QS — Reklam Metni Güncelle"))</f>
        <v>❌ Düşük QS — Reklam Metni Güncelle</v>
      </c>
    </row>
    <row r="13" customFormat="false" ht="25.5" hidden="false" customHeight="true" outlineLevel="0" collapsed="false">
      <c r="B13" s="4" t="s">
        <v>24</v>
      </c>
      <c r="C13" s="5" t="s">
        <v>17</v>
      </c>
      <c r="D13" s="6" t="n">
        <v>11</v>
      </c>
      <c r="E13" s="5" t="n">
        <v>9</v>
      </c>
      <c r="F13" s="7" t="n">
        <v>0.088</v>
      </c>
      <c r="G13" s="7" t="n">
        <v>0.062</v>
      </c>
      <c r="H13" s="8" t="n">
        <v>80</v>
      </c>
      <c r="I13" s="8" t="n">
        <v>350</v>
      </c>
      <c r="J13" s="9" t="n">
        <f aca="false">ROUND(H13*G13*(10/E13)*0.85,2)</f>
        <v>4.68</v>
      </c>
      <c r="K13" s="10" t="n">
        <f aca="false">IF(D13=0,"-",(J13-D13)/D13)</f>
        <v>-0.574545454545455</v>
      </c>
      <c r="L13" s="11" t="str">
        <f aca="false">IF(E13&gt;=8,"✅ Kalite Skoru İyi",IF(E13&gt;=5,"🟡 Geliştirilebilir","❌ Düşük QS — Reklam Metni Güncelle"))</f>
        <v>✅ Kalite Skoru İyi</v>
      </c>
    </row>
    <row r="14" customFormat="false" ht="25.5" hidden="false" customHeight="true" outlineLevel="0" collapsed="false">
      <c r="B14" s="4" t="s">
        <v>25</v>
      </c>
      <c r="C14" s="5" t="s">
        <v>14</v>
      </c>
      <c r="D14" s="6" t="n">
        <v>19</v>
      </c>
      <c r="E14" s="5" t="n">
        <v>6</v>
      </c>
      <c r="F14" s="7" t="n">
        <v>0.048</v>
      </c>
      <c r="G14" s="7" t="n">
        <v>0.036</v>
      </c>
      <c r="H14" s="8" t="n">
        <v>125</v>
      </c>
      <c r="I14" s="8" t="n">
        <v>350</v>
      </c>
      <c r="J14" s="9" t="n">
        <f aca="false">ROUND(H14*G14*(10/E14)*0.85,2)</f>
        <v>6.38</v>
      </c>
      <c r="K14" s="10" t="n">
        <f aca="false">IF(D14=0,"-",(J14-D14)/D14)</f>
        <v>-0.66421052631579</v>
      </c>
      <c r="L14" s="11" t="str">
        <f aca="false">IF(E14&gt;=8,"✅ Kalite Skoru İyi",IF(E14&gt;=5,"🟡 Geliştirilebilir","❌ Düşük QS — Reklam Metni Güncelle"))</f>
        <v>🟡 Geliştirilebilir</v>
      </c>
    </row>
    <row r="16" customFormat="false" ht="19.5" hidden="false" customHeight="true" outlineLevel="0" collapsed="false">
      <c r="B16" s="12" t="s">
        <v>26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customFormat="false" ht="36" hidden="false" customHeight="true" outlineLevel="0" collapsed="false">
      <c r="B17" s="13" t="s">
        <v>27</v>
      </c>
      <c r="C17" s="14" t="s">
        <v>28</v>
      </c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36" hidden="false" customHeight="true" outlineLevel="0" collapsed="false">
      <c r="B18" s="15" t="s">
        <v>29</v>
      </c>
      <c r="C18" s="16" t="s">
        <v>30</v>
      </c>
      <c r="D18" s="16"/>
      <c r="E18" s="16"/>
      <c r="F18" s="16"/>
      <c r="G18" s="16"/>
      <c r="H18" s="16"/>
      <c r="I18" s="16"/>
      <c r="J18" s="16"/>
      <c r="K18" s="16"/>
      <c r="L18" s="16"/>
    </row>
    <row r="19" customFormat="false" ht="36" hidden="false" customHeight="true" outlineLevel="0" collapsed="false">
      <c r="B19" s="17" t="s">
        <v>31</v>
      </c>
      <c r="C19" s="18" t="s">
        <v>32</v>
      </c>
      <c r="D19" s="18"/>
      <c r="E19" s="18"/>
      <c r="F19" s="18"/>
      <c r="G19" s="18"/>
      <c r="H19" s="18"/>
      <c r="I19" s="18"/>
      <c r="J19" s="18"/>
      <c r="K19" s="18"/>
      <c r="L19" s="18"/>
    </row>
    <row r="20" customFormat="false" ht="36" hidden="false" customHeight="true" outlineLevel="0" collapsed="false">
      <c r="B20" s="17" t="s">
        <v>33</v>
      </c>
      <c r="C20" s="18" t="s">
        <v>34</v>
      </c>
      <c r="D20" s="18"/>
      <c r="E20" s="18"/>
      <c r="F20" s="18"/>
      <c r="G20" s="18"/>
      <c r="H20" s="18"/>
      <c r="I20" s="18"/>
      <c r="J20" s="18"/>
      <c r="K20" s="18"/>
      <c r="L20" s="18"/>
    </row>
  </sheetData>
  <mergeCells count="7">
    <mergeCell ref="A1:L1"/>
    <mergeCell ref="A2:L2"/>
    <mergeCell ref="B16:L16"/>
    <mergeCell ref="C17:L17"/>
    <mergeCell ref="C18:L18"/>
    <mergeCell ref="C19:L19"/>
    <mergeCell ref="C20:L20"/>
  </mergeCells>
  <dataValidations count="1">
    <dataValidation allowBlank="false" errorStyle="stop" operator="between" showDropDown="false" showErrorMessage="false" showInputMessage="false" sqref="C5:C14" type="list">
      <formula1>"Geniş,Sıralı Eşleme,Tam Eşleme"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" t="s">
        <v>35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36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B4" s="19" t="s">
        <v>37</v>
      </c>
      <c r="C4" s="19" t="s">
        <v>38</v>
      </c>
      <c r="D4" s="19" t="s">
        <v>3</v>
      </c>
      <c r="E4" s="19" t="s">
        <v>39</v>
      </c>
      <c r="F4" s="19" t="s">
        <v>40</v>
      </c>
      <c r="G4" s="19" t="s">
        <v>41</v>
      </c>
    </row>
    <row r="5" customFormat="false" ht="24" hidden="false" customHeight="true" outlineLevel="0" collapsed="false">
      <c r="B5" s="20" t="s">
        <v>42</v>
      </c>
      <c r="C5" s="21" t="s">
        <v>43</v>
      </c>
      <c r="D5" s="21" t="s">
        <v>19</v>
      </c>
      <c r="E5" s="8" t="n">
        <v>850</v>
      </c>
      <c r="F5" s="6" t="n">
        <v>42</v>
      </c>
      <c r="G5" s="22" t="s">
        <v>44</v>
      </c>
    </row>
    <row r="6" customFormat="false" ht="24" hidden="false" customHeight="true" outlineLevel="0" collapsed="false">
      <c r="B6" s="20" t="s">
        <v>45</v>
      </c>
      <c r="C6" s="21" t="s">
        <v>43</v>
      </c>
      <c r="D6" s="21" t="s">
        <v>19</v>
      </c>
      <c r="E6" s="8" t="n">
        <v>620</v>
      </c>
      <c r="F6" s="6" t="n">
        <v>31</v>
      </c>
      <c r="G6" s="22" t="s">
        <v>46</v>
      </c>
    </row>
    <row r="7" customFormat="false" ht="24" hidden="false" customHeight="true" outlineLevel="0" collapsed="false">
      <c r="B7" s="20" t="s">
        <v>47</v>
      </c>
      <c r="C7" s="21" t="s">
        <v>48</v>
      </c>
      <c r="D7" s="21" t="s">
        <v>49</v>
      </c>
      <c r="E7" s="8" t="n">
        <v>1200</v>
      </c>
      <c r="F7" s="6" t="n">
        <v>60</v>
      </c>
      <c r="G7" s="22" t="s">
        <v>50</v>
      </c>
    </row>
    <row r="8" customFormat="false" ht="24" hidden="false" customHeight="true" outlineLevel="0" collapsed="false">
      <c r="B8" s="20" t="s">
        <v>51</v>
      </c>
      <c r="C8" s="21" t="s">
        <v>48</v>
      </c>
      <c r="D8" s="21" t="s">
        <v>49</v>
      </c>
      <c r="E8" s="8" t="n">
        <v>450</v>
      </c>
      <c r="F8" s="6" t="n">
        <v>22</v>
      </c>
      <c r="G8" s="22" t="s">
        <v>52</v>
      </c>
    </row>
    <row r="9" customFormat="false" ht="24" hidden="false" customHeight="true" outlineLevel="0" collapsed="false">
      <c r="B9" s="20" t="s">
        <v>53</v>
      </c>
      <c r="C9" s="21" t="s">
        <v>48</v>
      </c>
      <c r="D9" s="21" t="s">
        <v>54</v>
      </c>
      <c r="E9" s="8" t="n">
        <v>180</v>
      </c>
      <c r="F9" s="6" t="n">
        <v>9</v>
      </c>
      <c r="G9" s="22" t="s">
        <v>55</v>
      </c>
    </row>
    <row r="10" customFormat="false" ht="24" hidden="false" customHeight="true" outlineLevel="0" collapsed="false">
      <c r="B10" s="20" t="s">
        <v>56</v>
      </c>
      <c r="C10" s="21" t="s">
        <v>57</v>
      </c>
      <c r="D10" s="21" t="s">
        <v>49</v>
      </c>
      <c r="E10" s="8" t="n">
        <v>320</v>
      </c>
      <c r="F10" s="6" t="n">
        <v>16</v>
      </c>
      <c r="G10" s="22" t="s">
        <v>58</v>
      </c>
    </row>
    <row r="11" customFormat="false" ht="24" hidden="false" customHeight="true" outlineLevel="0" collapsed="false">
      <c r="B11" s="20" t="s">
        <v>59</v>
      </c>
      <c r="C11" s="21" t="s">
        <v>57</v>
      </c>
      <c r="D11" s="21" t="s">
        <v>19</v>
      </c>
      <c r="E11" s="8" t="n">
        <v>280</v>
      </c>
      <c r="F11" s="6" t="n">
        <v>14</v>
      </c>
      <c r="G11" s="22" t="s">
        <v>60</v>
      </c>
    </row>
    <row r="12" customFormat="false" ht="24" hidden="false" customHeight="true" outlineLevel="0" collapsed="false">
      <c r="B12" s="20" t="s">
        <v>61</v>
      </c>
      <c r="C12" s="21" t="s">
        <v>62</v>
      </c>
      <c r="D12" s="21" t="s">
        <v>49</v>
      </c>
      <c r="E12" s="8" t="n">
        <v>190</v>
      </c>
      <c r="F12" s="6" t="n">
        <v>9</v>
      </c>
      <c r="G12" s="22" t="s">
        <v>63</v>
      </c>
    </row>
    <row r="13" customFormat="false" ht="24" hidden="false" customHeight="true" outlineLevel="0" collapsed="false">
      <c r="B13" s="20" t="s">
        <v>64</v>
      </c>
      <c r="C13" s="21" t="s">
        <v>65</v>
      </c>
      <c r="D13" s="21" t="s">
        <v>54</v>
      </c>
      <c r="E13" s="8" t="n">
        <v>140</v>
      </c>
      <c r="F13" s="6" t="n">
        <v>7</v>
      </c>
      <c r="G13" s="22" t="s">
        <v>66</v>
      </c>
    </row>
    <row r="14" customFormat="false" ht="24" hidden="false" customHeight="true" outlineLevel="0" collapsed="false">
      <c r="B14" s="20" t="s">
        <v>67</v>
      </c>
      <c r="C14" s="21" t="s">
        <v>68</v>
      </c>
      <c r="D14" s="21" t="s">
        <v>54</v>
      </c>
      <c r="E14" s="8" t="n">
        <v>95</v>
      </c>
      <c r="F14" s="6" t="n">
        <v>5</v>
      </c>
      <c r="G14" s="22" t="s">
        <v>69</v>
      </c>
    </row>
    <row r="15" customFormat="false" ht="24" hidden="false" customHeight="true" outlineLevel="0" collapsed="false">
      <c r="B15" s="20" t="s">
        <v>70</v>
      </c>
      <c r="C15" s="21" t="s">
        <v>68</v>
      </c>
      <c r="D15" s="21" t="s">
        <v>54</v>
      </c>
      <c r="E15" s="8" t="n">
        <v>88</v>
      </c>
      <c r="F15" s="6" t="n">
        <v>4</v>
      </c>
      <c r="G15" s="22" t="s">
        <v>69</v>
      </c>
    </row>
    <row r="16" customFormat="false" ht="24" hidden="false" customHeight="true" outlineLevel="0" collapsed="false">
      <c r="B16" s="20" t="s">
        <v>71</v>
      </c>
      <c r="C16" s="21" t="s">
        <v>72</v>
      </c>
      <c r="D16" s="21" t="s">
        <v>19</v>
      </c>
      <c r="E16" s="8" t="n">
        <v>560</v>
      </c>
      <c r="F16" s="6" t="n">
        <v>28</v>
      </c>
      <c r="G16" s="22" t="s">
        <v>73</v>
      </c>
    </row>
    <row r="17" customFormat="false" ht="24" hidden="false" customHeight="true" outlineLevel="0" collapsed="false">
      <c r="B17" s="20" t="s">
        <v>74</v>
      </c>
      <c r="C17" s="21" t="s">
        <v>75</v>
      </c>
      <c r="D17" s="21" t="s">
        <v>54</v>
      </c>
      <c r="E17" s="8" t="n">
        <v>340</v>
      </c>
      <c r="F17" s="6" t="n">
        <v>17</v>
      </c>
      <c r="G17" s="22" t="s">
        <v>76</v>
      </c>
    </row>
    <row r="18" customFormat="false" ht="24" hidden="false" customHeight="true" outlineLevel="0" collapsed="false">
      <c r="B18" s="20" t="s">
        <v>77</v>
      </c>
      <c r="C18" s="21" t="s">
        <v>75</v>
      </c>
      <c r="D18" s="21" t="s">
        <v>54</v>
      </c>
      <c r="E18" s="8" t="n">
        <v>290</v>
      </c>
      <c r="F18" s="6" t="n">
        <v>14</v>
      </c>
      <c r="G18" s="22" t="s">
        <v>78</v>
      </c>
    </row>
    <row r="19" customFormat="false" ht="24" hidden="false" customHeight="true" outlineLevel="0" collapsed="false">
      <c r="B19" s="20" t="s">
        <v>79</v>
      </c>
      <c r="C19" s="21" t="s">
        <v>48</v>
      </c>
      <c r="D19" s="21" t="s">
        <v>49</v>
      </c>
      <c r="E19" s="8" t="n">
        <v>780</v>
      </c>
      <c r="F19" s="6" t="n">
        <v>39</v>
      </c>
      <c r="G19" s="22" t="s">
        <v>80</v>
      </c>
    </row>
    <row r="21" customFormat="false" ht="24" hidden="false" customHeight="true" outlineLevel="0" collapsed="false">
      <c r="B21" s="23" t="s">
        <v>81</v>
      </c>
      <c r="F21" s="24" t="n">
        <f aca="false">SUM(F5:F20)</f>
        <v>317</v>
      </c>
      <c r="G21" s="25" t="s">
        <v>82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7" min="4" style="0" width="14"/>
    <col collapsed="false" customWidth="true" hidden="false" outlineLevel="0" max="8" min="8" style="0" width="35"/>
  </cols>
  <sheetData>
    <row r="1" customFormat="false" ht="36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84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B4" s="19" t="s">
        <v>85</v>
      </c>
      <c r="C4" s="19" t="s">
        <v>86</v>
      </c>
      <c r="D4" s="19" t="s">
        <v>87</v>
      </c>
      <c r="E4" s="19" t="s">
        <v>88</v>
      </c>
      <c r="F4" s="19" t="s">
        <v>89</v>
      </c>
      <c r="G4" s="19" t="s">
        <v>90</v>
      </c>
      <c r="H4" s="19" t="s">
        <v>91</v>
      </c>
    </row>
    <row r="5" customFormat="false" ht="36" hidden="false" customHeight="true" outlineLevel="0" collapsed="false">
      <c r="B5" s="26" t="s">
        <v>92</v>
      </c>
      <c r="C5" s="27" t="n">
        <v>0.62</v>
      </c>
      <c r="D5" s="27" t="n">
        <v>0.38</v>
      </c>
      <c r="E5" s="27" t="n">
        <v>0.71</v>
      </c>
      <c r="F5" s="27" t="n">
        <v>0.55</v>
      </c>
      <c r="G5" s="27" t="n">
        <v>1</v>
      </c>
      <c r="H5" s="22" t="s">
        <v>93</v>
      </c>
    </row>
    <row r="6" customFormat="false" ht="36" hidden="false" customHeight="true" outlineLevel="0" collapsed="false">
      <c r="B6" s="28" t="s">
        <v>94</v>
      </c>
      <c r="C6" s="29" t="n">
        <v>0.71</v>
      </c>
      <c r="D6" s="29" t="n">
        <v>0.44</v>
      </c>
      <c r="E6" s="29" t="n">
        <v>0.78</v>
      </c>
      <c r="F6" s="29" t="n">
        <v>0.61</v>
      </c>
      <c r="G6" s="29" t="n">
        <v>0.45</v>
      </c>
      <c r="H6" s="22" t="s">
        <v>95</v>
      </c>
    </row>
    <row r="7" customFormat="false" ht="36" hidden="false" customHeight="true" outlineLevel="0" collapsed="false">
      <c r="B7" s="28" t="s">
        <v>96</v>
      </c>
      <c r="C7" s="29" t="n">
        <v>0.48</v>
      </c>
      <c r="D7" s="29" t="n">
        <v>0.29</v>
      </c>
      <c r="E7" s="29" t="n">
        <v>0.59</v>
      </c>
      <c r="F7" s="29" t="n">
        <v>0.42</v>
      </c>
      <c r="G7" s="29" t="n">
        <v>0.38</v>
      </c>
      <c r="H7" s="22" t="s">
        <v>97</v>
      </c>
    </row>
    <row r="8" customFormat="false" ht="36" hidden="false" customHeight="true" outlineLevel="0" collapsed="false">
      <c r="B8" s="28" t="s">
        <v>98</v>
      </c>
      <c r="C8" s="29" t="n">
        <v>0.55</v>
      </c>
      <c r="D8" s="29" t="n">
        <v>0.35</v>
      </c>
      <c r="E8" s="29" t="n">
        <v>0.67</v>
      </c>
      <c r="F8" s="29" t="n">
        <v>0.5</v>
      </c>
      <c r="G8" s="29" t="n">
        <v>0.52</v>
      </c>
      <c r="H8" s="22" t="s">
        <v>99</v>
      </c>
    </row>
    <row r="9" customFormat="false" ht="36" hidden="false" customHeight="true" outlineLevel="0" collapsed="false">
      <c r="B9" s="28" t="s">
        <v>100</v>
      </c>
      <c r="C9" s="29" t="n">
        <v>0.33</v>
      </c>
      <c r="D9" s="29" t="n">
        <v>0.18</v>
      </c>
      <c r="E9" s="29" t="n">
        <v>0.44</v>
      </c>
      <c r="F9" s="29" t="n">
        <v>0.28</v>
      </c>
      <c r="G9" s="29" t="n">
        <v>0.21</v>
      </c>
      <c r="H9" s="22" t="s">
        <v>101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2026-04-29T08:35:08Z</dcterms:created>
  <dc:creator>openpyxl</dc:creator>
  <dc:description/>
  <dc:language>en-US</dc:language>
  <cp:lastModifiedBy/>
  <dcterms:modified xsi:type="dcterms:W3CDTF">2026-04-29T08:35:08Z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